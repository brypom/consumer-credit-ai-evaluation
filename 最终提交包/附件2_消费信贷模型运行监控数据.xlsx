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de9774bf1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监控摘要" sheetId="1" r:id="Rdf89e2b79f764523"/>
    <x:sheet xmlns:r="http://schemas.openxmlformats.org/officeDocument/2006/relationships" name="02_PSI分箱明细" sheetId="2" r:id="R0cd5c02b4e0648a0"/>
    <x:sheet xmlns:r="http://schemas.openxmlformats.org/officeDocument/2006/relationships" name="03_供应商PSI" sheetId="3" r:id="R5607a65142574c3c"/>
    <x:sheet xmlns:r="http://schemas.openxmlformats.org/officeDocument/2006/relationships" name="04_评分带迁移" sheetId="4" r:id="Rcc1f2ed43d274595"/>
    <x:sheet xmlns:r="http://schemas.openxmlformats.org/officeDocument/2006/relationships" name="05_渠道与缺失率" sheetId="5" r:id="R9f84d17afa5844eb"/>
    <x:sheet xmlns:r="http://schemas.openxmlformats.org/officeDocument/2006/relationships" name="06_口径说明" sheetId="6" r:id="Rabd19285a4ef47ba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5">
    <numFmt numFmtId="200" formatCode="#,##0"/>
    <numFmt numFmtId="201" formatCode="0.00"/>
    <numFmt numFmtId="202" formatCode="0.00%"/>
    <numFmt numFmtId="203" formatCode="0.0000"/>
    <numFmt numFmtId="204" formatCode="0.0"/>
  </numFmts>
  <fonts count="9">
    <font>
      <sz val="11"/>
      <name val="Times New Roman"/>
    </font>
    <font>
      <b/>
      <sz val="14"/>
      <color rgb="FF000000"/>
      <name val="Times New Roman"/>
    </font>
    <font>
      <b/>
      <sz val="10.5"/>
      <color rgb="FFFFFFFF"/>
      <name val="Times New Roman"/>
    </font>
    <font>
      <sz val="10.5"/>
      <color rgb="FF222222"/>
      <name val="Times New Roman"/>
    </font>
    <font>
      <b/>
      <sz val="11"/>
      <color rgb="FF000000"/>
      <name val="Times New Roman"/>
    </font>
    <font>
      <i/>
      <sz val="10.5"/>
      <name val="Times New Roman"/>
    </font>
    <font>
      <b/>
      <sz val="11"/>
      <name val="Times New Roman"/>
    </font>
    <font>
      <sz val="10.5"/>
      <name val="Times New Roman"/>
    </font>
    <font>
      <i/>
      <sz val="10.5"/>
      <color rgb="FF22222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/>
    <border>
      <bottom style="thin">
        <color rgb="FF7F8C8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0" fillId="0" borderId="1" xfId="0" applyNumberFormat="1" applyFont="1" applyFill="1" applyBorder="1"/>
    <xf numFmtId="0" fontId="0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2" xfId="0" applyNumberFormat="1" applyFont="1" applyFill="1" applyBorder="1"/>
    <xf numFmtId="0" fontId="2" fillId="2" borderId="2" xfId="0" applyNumberFormat="1" applyFont="1" applyFill="1" applyBorder="1" applyAlignment="1">
      <alignment wrapText="1"/>
    </xf>
    <xf numFmtId="0" fontId="2" fillId="2" borderId="2" xfId="0" applyNumberFormat="1" applyFont="1" applyFill="1" applyBorder="1" applyAlignment="1">
      <alignment horizont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2" xfId="0" applyNumberFormat="1" applyFont="1" applyFill="1" applyBorder="1"/>
    <xf numFmtId="0" fontId="3" fillId="0" borderId="2" xfId="0" applyNumberFormat="1" applyFont="1" applyFill="1" applyBorder="1" applyAlignment="1">
      <alignment vertical="center"/>
    </xf>
    <xf numFmtId="200" fontId="3" fillId="0" borderId="2" xfId="0" applyNumberFormat="1" applyFont="1" applyFill="1" applyBorder="1" applyAlignment="1">
      <alignment vertical="center"/>
    </xf>
    <xf numFmtId="201" fontId="3" fillId="0" borderId="2" xfId="0" applyNumberFormat="1" applyFont="1" applyFill="1" applyBorder="1" applyAlignment="1">
      <alignment vertical="center"/>
    </xf>
    <xf numFmtId="202" fontId="3" fillId="0" borderId="2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4" fillId="3" borderId="0" xfId="0" applyNumberFormat="1" applyFont="1" applyFill="1" applyBorder="1"/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wrapText="1"/>
    </xf>
    <xf numFmtId="203" fontId="3" fillId="0" borderId="2" xfId="0" applyNumberFormat="1" applyFont="1" applyFill="1" applyBorder="1" applyAlignment="1">
      <alignment vertical="center"/>
    </xf>
    <xf numFmtId="0" fontId="6" fillId="3" borderId="0" xfId="0" applyNumberFormat="1" applyFont="1" applyFill="1" applyBorder="1"/>
    <xf numFmtId="0" fontId="7" fillId="0" borderId="0" xfId="0" applyNumberFormat="1" applyFont="1" applyFill="1" applyBorder="1"/>
    <xf numFmtId="0" fontId="7" fillId="0" borderId="0" xfId="0" applyNumberFormat="1" applyFont="1" applyFill="1" applyBorder="1" applyAlignment="1">
      <alignment wrapText="1"/>
    </xf>
    <xf numFmtId="0" fontId="8" fillId="0" borderId="2" xfId="0" applyNumberFormat="1" applyFont="1" applyFill="1" applyBorder="1" applyAlignment="1">
      <alignment vertical="center"/>
    </xf>
    <xf numFmtId="0" fontId="8" fillId="0" borderId="2" xfId="0" applyNumberFormat="1" applyFont="1" applyFill="1" applyBorder="1" applyAlignment="1">
      <alignment vertical="center" wrapText="1"/>
    </xf>
    <xf numFmtId="200" fontId="0" fillId="0" borderId="0" xfId="0" applyNumberFormat="1" applyFont="1" applyFill="1" applyBorder="1"/>
    <xf numFmtId="202" fontId="0" fillId="0" borderId="0" xfId="0" applyNumberFormat="1" applyFont="1" applyFill="1" applyBorder="1"/>
    <xf numFmtId="204" fontId="3" fillId="0" borderId="2" xfId="0" applyNumberFormat="1" applyFont="1" applyFill="1" applyBorder="1" applyAlignment="1">
      <alignment vertical="center"/>
    </xf>
    <xf numFmtId="204" fontId="0" fillId="0" borderId="0" xfId="0" applyNumberFormat="1" applyFont="1" applyFill="1" applyBorder="1"/>
    <xf numFmtId="0" fontId="3" fillId="0" borderId="2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332fd3c6048ab" /><Relationship Type="http://schemas.openxmlformats.org/officeDocument/2006/relationships/theme" Target="/xl/theme/theme1.xml" Id="R0ac099f0b226411a" /><Relationship Type="http://schemas.openxmlformats.org/officeDocument/2006/relationships/sharedStrings" Target="/xl/sharedStrings.xml" Id="R78dc48f8664940eb" /><Relationship Type="http://schemas.openxmlformats.org/officeDocument/2006/relationships/worksheet" Target="/xl/worksheets/sheet1.xml" Id="Rdf89e2b79f764523" /><Relationship Type="http://schemas.openxmlformats.org/officeDocument/2006/relationships/worksheet" Target="/xl/worksheets/sheet2.xml" Id="R0cd5c02b4e0648a0" /><Relationship Type="http://schemas.openxmlformats.org/officeDocument/2006/relationships/worksheet" Target="/xl/worksheets/sheet3.xml" Id="R5607a65142574c3c" /><Relationship Type="http://schemas.openxmlformats.org/officeDocument/2006/relationships/worksheet" Target="/xl/worksheets/sheet4.xml" Id="Rcc1f2ed43d274595" /><Relationship Type="http://schemas.openxmlformats.org/officeDocument/2006/relationships/worksheet" Target="/xl/worksheets/sheet5.xml" Id="R9f84d17afa5844eb" /><Relationship Type="http://schemas.openxmlformats.org/officeDocument/2006/relationships/worksheet" Target="/xl/worksheets/sheet6.xml" Id="Rabd19285a4ef47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F4E78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14" hidden="0" customWidth="1"/>
    <col min="2" max="2" width="12" hidden="0" customWidth="1"/>
    <col min="3" max="3" width="10" hidden="0" customWidth="1"/>
    <col min="4" max="4" width="10" hidden="0" customWidth="1"/>
    <col min="5" max="5" width="15" hidden="0" customWidth="1"/>
    <col min="6" max="6" width="15" hidden="0" customWidth="1"/>
    <col min="7" max="7" width="15" hidden="0" customWidth="1"/>
    <col min="8" max="8" width="15" hidden="0" customWidth="1"/>
    <col min="9" max="9" width="15" hidden="0" customWidth="1"/>
  </cols>
  <sheetData>
    <row r="1" ht="26" customHeight="1">
      <c r="A1" s="2" t="inlineStr">
        <is>
          <r>
            <rPr>
              <rFont val="SimSun"/>
              <b/>
              <sz val="14"/>
              <color rgb="FF000000"/>
            </rPr>
            <t>消费信贷模型运行监控数据</t>
          </r>
        </is>
      </c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9" t="inlineStr">
        <is>
          <r>
            <rPr>
              <rFont val="SimSun"/>
              <b/>
              <sz val="10.5"/>
              <color rgb="FFFFFFFF"/>
            </rPr>
            <t>月份</t>
          </r>
        </is>
      </c>
      <c r="B3" s="9" t="inlineStr">
        <is>
          <r>
            <rPr>
              <rFont val="SimSun"/>
              <b/>
              <sz val="10.5"/>
              <color rgb="FFFFFFFF"/>
            </rPr>
            <t>申请量</t>
          </r>
        </is>
      </c>
      <c r="C3" s="9" t="inlineStr">
        <is>
          <r>
            <rPr>
              <rFont val="Times New Roman"/>
              <b/>
              <sz val="10.5"/>
              <color rgb="FFFFFFFF"/>
            </rPr>
            <t>AUC</t>
          </r>
        </is>
      </c>
      <c r="D3" s="9" t="inlineStr">
        <is>
          <r>
            <rPr>
              <rFont val="Times New Roman"/>
              <b/>
              <sz val="10.5"/>
              <color rgb="FFFFFFFF"/>
            </rPr>
            <t>KS</t>
          </r>
        </is>
      </c>
      <c r="E3" s="9" t="inlineStr">
        <is>
          <r>
            <rPr>
              <rFont val="SimSun"/>
              <b/>
              <sz val="10.5"/>
              <color rgb="FFFFFFFF"/>
            </rPr>
            <t>平均预测</t>
          </r>
          <r>
            <rPr>
              <rFont val="Times New Roman"/>
              <b/>
              <sz val="10.5"/>
              <color rgb="FFFFFFFF"/>
            </rPr>
            <t>PD</t>
          </r>
        </is>
      </c>
      <c r="F3" s="9" t="inlineStr">
        <is>
          <r>
            <rPr>
              <rFont val="SimSun"/>
              <b/>
              <sz val="10.5"/>
              <color rgb="FFFFFFFF"/>
            </rPr>
            <t>自动审批率</t>
          </r>
        </is>
      </c>
      <c r="G3" s="9" t="inlineStr">
        <is>
          <r>
            <rPr>
              <rFont val="SimSun"/>
              <b/>
              <sz val="10.5"/>
              <color rgb="FFFFFFFF"/>
            </rPr>
            <t>人工审核率</t>
          </r>
        </is>
      </c>
      <c r="H3" s="9" t="inlineStr">
        <is>
          <r>
            <rPr>
              <rFont val="SimSun"/>
              <b/>
              <sz val="10.5"/>
              <color rgb="FFFFFFFF"/>
            </rPr>
            <t>拒绝率</t>
          </r>
        </is>
      </c>
      <c r="I3" s="9" t="inlineStr">
        <is>
          <r>
            <rPr>
              <rFont val="SimSun"/>
              <b/>
              <sz val="10.5"/>
              <color rgb="FFFFFFFF"/>
            </rPr>
            <t>成熟样本</t>
          </r>
          <r>
            <rPr>
              <rFont val="Times New Roman"/>
              <b/>
              <sz val="10.5"/>
              <color rgb="FFFFFFFF"/>
            </rPr>
            <t>30</t>
          </r>
          <r>
            <rPr>
              <rFont val="SimSun"/>
              <b/>
              <sz val="10.5"/>
              <color rgb="FFFFFFFF"/>
            </rPr>
            <t>天逾期率</t>
          </r>
        </is>
      </c>
    </row>
    <row r="4">
      <c r="A4" s="12" t="inlineStr">
        <is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月</t>
          </r>
        </is>
      </c>
      <c r="B4" s="13" t="n">
        <v>10000</v>
      </c>
      <c r="C4" s="14" t="n">
        <v>0.82</v>
      </c>
      <c r="D4" s="14" t="n">
        <v>0.41</v>
      </c>
      <c r="E4" s="15" t="n">
        <v>0.0175</v>
      </c>
      <c r="F4" s="15" t="n">
        <v>0.42</v>
      </c>
      <c r="G4" s="15" t="n">
        <v>0.38</v>
      </c>
      <c r="H4" s="15" t="n">
        <v>0.2</v>
      </c>
      <c r="I4" s="15" t="n">
        <v>0.018</v>
      </c>
    </row>
    <row r="5">
      <c r="A5" s="12" t="inlineStr">
        <is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月</t>
          </r>
        </is>
      </c>
      <c r="B5" s="13" t="n">
        <v>10500</v>
      </c>
      <c r="C5" s="14" t="n">
        <v>0.81</v>
      </c>
      <c r="D5" s="14" t="n">
        <v>0.4</v>
      </c>
      <c r="E5" s="15" t="n">
        <v>0.0178</v>
      </c>
      <c r="F5" s="15" t="n">
        <v>0.4</v>
      </c>
      <c r="G5" s="15" t="n">
        <v>0.4</v>
      </c>
      <c r="H5" s="15" t="n">
        <v>0.2</v>
      </c>
      <c r="I5" s="15" t="n">
        <v>0.019</v>
      </c>
    </row>
    <row r="6">
      <c r="A6" s="12" t="inlineStr">
        <is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6</t>
          </r>
          <r>
            <rPr>
              <rFont val="SimSun"/>
              <sz val="10.5"/>
              <color rgb="FF222222"/>
            </rPr>
            <t>月</t>
          </r>
        </is>
      </c>
      <c r="B6" s="13" t="n">
        <v>11000</v>
      </c>
      <c r="C6" s="14" t="n">
        <v>0.79</v>
      </c>
      <c r="D6" s="14" t="n">
        <v>0.36</v>
      </c>
      <c r="E6" s="15" t="n">
        <v>0.0182</v>
      </c>
      <c r="F6" s="15" t="n">
        <v>0.37</v>
      </c>
      <c r="G6" s="15" t="n">
        <v>0.43</v>
      </c>
      <c r="H6" s="15" t="n">
        <v>0.2</v>
      </c>
      <c r="I6" s="15" t="n">
        <v>0.021</v>
      </c>
    </row>
    <row r="7">
      <c r="A7" s="12" t="inlineStr">
        <is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9</t>
          </r>
          <r>
            <rPr>
              <rFont val="SimSun"/>
              <sz val="10.5"/>
              <color rgb="FF222222"/>
            </rPr>
            <t>月</t>
          </r>
        </is>
      </c>
      <c r="B7" s="13" t="n">
        <v>11800</v>
      </c>
      <c r="C7" s="14" t="n">
        <v>0.76</v>
      </c>
      <c r="D7" s="14" t="n">
        <v>0.33</v>
      </c>
      <c r="E7" s="15" t="n">
        <v>0.0188</v>
      </c>
      <c r="F7" s="15" t="n">
        <v>0.34</v>
      </c>
      <c r="G7" s="15" t="n">
        <v>0.46</v>
      </c>
      <c r="H7" s="15" t="n">
        <v>0.2</v>
      </c>
      <c r="I7" s="15" t="n">
        <v>0.024</v>
      </c>
    </row>
    <row r="8">
      <c r="A8" s="12" t="inlineStr">
        <is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11</t>
          </r>
          <r>
            <rPr>
              <rFont val="SimSun"/>
              <sz val="10.5"/>
              <color rgb="FF222222"/>
            </rPr>
            <t>月</t>
          </r>
        </is>
      </c>
      <c r="B8" s="13" t="n">
        <v>12200</v>
      </c>
      <c r="C8" s="14" t="n">
        <v>0.75</v>
      </c>
      <c r="D8" s="14" t="n">
        <v>0.31</v>
      </c>
      <c r="E8" s="15" t="n">
        <v>0.0192</v>
      </c>
      <c r="F8" s="15" t="n">
        <v>0.32</v>
      </c>
      <c r="G8" s="15" t="n">
        <v>0.48</v>
      </c>
      <c r="H8" s="15" t="n">
        <v>0.2</v>
      </c>
      <c r="I8" s="15" t="n">
        <v>0.025</v>
      </c>
    </row>
    <row r="9">
      <c r="A9" s="12" t="inlineStr">
        <is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12</t>
          </r>
          <r>
            <rPr>
              <rFont val="SimSun"/>
              <sz val="10.5"/>
              <color rgb="FF222222"/>
            </rPr>
            <t>月</t>
          </r>
        </is>
      </c>
      <c r="B9" s="13" t="n">
        <v>12500</v>
      </c>
      <c r="C9" s="14" t="n">
        <v>0.74</v>
      </c>
      <c r="D9" s="14" t="n">
        <v>0.29</v>
      </c>
      <c r="E9" s="15" t="n">
        <v>0.0195</v>
      </c>
      <c r="F9" s="15" t="n">
        <v>0.31</v>
      </c>
      <c r="G9" s="15" t="n">
        <v>0.49</v>
      </c>
      <c r="H9" s="15" t="n">
        <v>0.2</v>
      </c>
      <c r="I9" s="15" t="n">
        <v>0.026</v>
      </c>
    </row>
    <row r="11">
      <c r="A11" s="17" t="inlineStr">
        <is>
          <r>
            <rPr>
              <rFont val="SimSun"/>
              <b/>
              <sz val="11"/>
              <color rgb="FF000000"/>
            </rPr>
            <t>提示</t>
          </r>
        </is>
      </c>
      <c r="B11" s="17"/>
      <c r="C11" s="17"/>
      <c r="D11" s="17"/>
      <c r="E11" s="17"/>
      <c r="F11" s="17"/>
      <c r="G11" s="17"/>
      <c r="H11" s="17"/>
      <c r="I11" s="17"/>
    </row>
    <row r="12">
      <c r="A12" s="19" t="inlineStr">
        <is>
          <r>
            <rPr>
              <rFont val="Times New Roman"/>
              <i/>
              <sz val="10.5"/>
            </rPr>
            <t>AUC</t>
          </r>
          <r>
            <rPr>
              <rFont val="SimSun"/>
              <i/>
              <sz val="10.5"/>
            </rPr>
            <t>、</t>
          </r>
          <r>
            <rPr>
              <rFont val="Times New Roman"/>
              <i/>
              <sz val="10.5"/>
            </rPr>
            <t xml:space="preserve">KS </t>
          </r>
          <r>
            <rPr>
              <rFont val="SimSun"/>
              <i/>
              <sz val="10.5"/>
            </rPr>
            <t>与平均预测</t>
          </r>
          <r>
            <rPr>
              <rFont val="Times New Roman"/>
              <i/>
              <sz val="10.5"/>
            </rPr>
            <t>PD</t>
          </r>
          <r>
            <rPr>
              <rFont val="SimSun"/>
              <i/>
              <sz val="10.5"/>
            </rPr>
            <t>按当月成熟样本计算；</t>
          </r>
          <r>
            <rPr>
              <rFont val="Times New Roman"/>
              <i/>
              <sz val="10.5"/>
            </rPr>
            <t>30</t>
          </r>
          <r>
            <rPr>
              <rFont val="SimSun"/>
              <i/>
              <sz val="10.5"/>
            </rPr>
            <t>天逾期率口径见“</t>
          </r>
          <r>
            <rPr>
              <rFont val="Times New Roman"/>
              <i/>
              <sz val="10.5"/>
            </rPr>
            <t>06_</t>
          </r>
          <r>
            <rPr>
              <rFont val="SimSun"/>
              <i/>
              <sz val="10.5"/>
            </rPr>
            <t>口径说明”。</t>
          </r>
        </is>
      </c>
      <c r="B12" s="19"/>
      <c r="C12" s="19"/>
      <c r="D12" s="19"/>
      <c r="E12" s="19"/>
      <c r="F12" s="19"/>
      <c r="G12" s="19"/>
      <c r="H12" s="19"/>
      <c r="I12" s="19"/>
    </row>
  </sheetData>
  <mergeCells>
    <mergeCell ref="A1:I1"/>
    <mergeCell ref="A11:I11"/>
    <mergeCell ref="A12:I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4" hidden="0" customWidth="1"/>
    <col min="2" max="2" width="17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5" hidden="0" customWidth="1"/>
    <col min="8" max="8" width="15" hidden="0" customWidth="1"/>
    <col min="9" max="9" width="15" hidden="0" customWidth="1"/>
    <col min="10" max="10" width="15" hidden="0" customWidth="1"/>
  </cols>
  <sheetData>
    <row r="1" ht="26" customHeight="1">
      <c r="A1" s="2" t="inlineStr">
        <is>
          <r>
            <rPr>
              <rFont val="Times New Roman"/>
              <b/>
              <sz val="14"/>
              <color rgb="FF000000"/>
            </rPr>
            <t>PSI</t>
          </r>
          <r>
            <rPr>
              <rFont val="SimSun"/>
              <b/>
              <sz val="14"/>
              <color rgb="FF000000"/>
            </rPr>
            <t>原始分箱数据</t>
          </r>
        </is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>
      <c r="A3" s="9" t="inlineStr">
        <is>
          <r>
            <rPr>
              <rFont val="SimSun"/>
              <b/>
              <sz val="10.5"/>
              <color rgb="FFFFFFFF"/>
            </rPr>
            <t>变量</t>
          </r>
        </is>
      </c>
      <c r="B3" s="9" t="inlineStr">
        <is>
          <r>
            <rPr>
              <rFont val="SimSun"/>
              <b/>
              <sz val="10.5"/>
              <color rgb="FFFFFFFF"/>
            </rPr>
            <t>分箱</t>
          </r>
        </is>
      </c>
      <c r="C3" s="9" t="inlineStr">
        <is>
          <r>
            <rPr>
              <rFont val="SimSun"/>
              <b/>
              <sz val="10.5"/>
              <color rgb="FFFFFFFF"/>
            </rPr>
            <t>基准样本数</t>
          </r>
        </is>
      </c>
      <c r="D3" s="9" t="inlineStr">
        <is>
          <r>
            <rPr>
              <rFont val="SimSun"/>
              <b/>
              <sz val="10.5"/>
              <color rgb="FFFFFFFF"/>
            </rPr>
            <t>当前样本数</t>
          </r>
        </is>
      </c>
      <c r="E3" s="9" t="inlineStr">
        <is>
          <r>
            <rPr>
              <rFont val="SimSun"/>
              <b/>
              <sz val="10.5"/>
              <color rgb="FFFFFFFF"/>
            </rPr>
            <t>基准占比</t>
          </r>
        </is>
      </c>
      <c r="F3" s="9" t="inlineStr">
        <is>
          <r>
            <rPr>
              <rFont val="SimSun"/>
              <b/>
              <sz val="10.5"/>
              <color rgb="FFFFFFFF"/>
            </rPr>
            <t>当前占比</t>
          </r>
        </is>
      </c>
      <c r="G3" s="9" t="inlineStr">
        <is>
          <r>
            <rPr>
              <rFont val="SimSun"/>
              <b/>
              <sz val="10.5"/>
              <color rgb="FFFFFFFF"/>
            </rPr>
            <t>当前占比减基准占比</t>
          </r>
        </is>
      </c>
      <c r="H3" s="9" t="inlineStr">
        <is>
          <r>
            <rPr>
              <rFont val="SimSun"/>
              <b/>
              <sz val="10.5"/>
              <color rgb="FFFFFFFF"/>
            </rPr>
            <t>占比比值</t>
          </r>
        </is>
      </c>
      <c r="I3" s="9" t="inlineStr">
        <is>
          <r>
            <rPr>
              <rFont val="SimSun"/>
              <b/>
              <sz val="10.5"/>
              <color rgb="FFFFFFFF"/>
            </rPr>
            <t>分箱</t>
          </r>
          <r>
            <rPr>
              <rFont val="Times New Roman"/>
              <b/>
              <sz val="10.5"/>
              <color rgb="FFFFFFFF"/>
            </rPr>
            <t>PSI</t>
          </r>
          <r>
            <rPr>
              <rFont val="SimSun"/>
              <b/>
              <sz val="10.5"/>
              <color rgb="FFFFFFFF"/>
            </rPr>
            <t>贡献</t>
          </r>
        </is>
      </c>
      <c r="J3" s="9" t="inlineStr">
        <is>
          <r>
            <rPr>
              <rFont val="SimSun"/>
              <b/>
              <sz val="10.5"/>
              <color rgb="FFFFFFFF"/>
            </rPr>
            <t>变量</t>
          </r>
          <r>
            <rPr>
              <rFont val="Times New Roman"/>
              <b/>
              <sz val="10.5"/>
              <color rgb="FFFFFFFF"/>
            </rPr>
            <t>PSI</t>
          </r>
        </is>
      </c>
    </row>
    <row r="4">
      <c r="A4" s="12" t="inlineStr">
        <is>
          <r>
            <rPr>
              <rFont val="Times New Roman"/>
              <sz val="10.5"/>
              <color rgb="FF222222"/>
            </rPr>
            <t>income</t>
          </r>
        </is>
      </c>
      <c r="B4" s="12" t="inlineStr">
        <is>
          <r>
            <rPr>
              <rFont val="Times New Roman"/>
              <sz val="10.5"/>
              <color rgb="FF222222"/>
            </rPr>
            <t>&lt;5000</t>
          </r>
        </is>
      </c>
      <c r="C4" s="13" t="n">
        <v>1000</v>
      </c>
      <c r="D4" s="13" t="n">
        <v>1800</v>
      </c>
      <c r="E4" s="15" t="n">
        <f>C4/SUM($C$4:$C$8)</f>
        <v>0.1</v>
      </c>
      <c r="F4" s="15" t="n">
        <f>D4/SUM($D$4:$D$8)</f>
        <v>0.18</v>
      </c>
      <c r="G4" s="15" t="n">
        <f>F4-E4</f>
        <v>0.07999999999999999</v>
      </c>
      <c r="H4" s="20" t="n">
        <f>F4/E4</f>
        <v>1.7999999999999998</v>
      </c>
      <c r="I4" s="20" t="n">
        <f>G4*LN(H4)</f>
        <v>0.047022933192169505</v>
      </c>
      <c r="J4" s="20" t="n">
        <f>SUM(I4:I8)</f>
        <v>0.08893089696398117</v>
      </c>
    </row>
    <row r="5">
      <c r="A5" s="12" t="inlineStr">
        <is>
          <r>
            <rPr>
              <rFont val="Times New Roman"/>
              <sz val="10.5"/>
              <color rgb="FF222222"/>
            </rPr>
            <t>income</t>
          </r>
        </is>
      </c>
      <c r="B5" s="12" t="inlineStr">
        <is>
          <r>
            <rPr>
              <rFont val="Times New Roman"/>
              <sz val="10.5"/>
              <color rgb="FF222222"/>
            </rPr>
            <t>5000-7999</t>
          </r>
        </is>
      </c>
      <c r="C5" s="13" t="n">
        <v>2500</v>
      </c>
      <c r="D5" s="13" t="n">
        <v>3000</v>
      </c>
      <c r="E5" s="15" t="n">
        <f>C5/SUM($C$4:$C$8)</f>
        <v>0.25</v>
      </c>
      <c r="F5" s="15" t="n">
        <f>D5/SUM($D$4:$D$8)</f>
        <v>0.3</v>
      </c>
      <c r="G5" s="15" t="n">
        <f>F5-E5</f>
        <v>0.04999999999999999</v>
      </c>
      <c r="H5" s="20" t="n">
        <f>F5/E5</f>
        <v>1.2</v>
      </c>
      <c r="I5" s="20" t="n">
        <f>G5*LN(H5)</f>
        <v>0.009116077839697728</v>
      </c>
      <c r="J5" s="20"/>
    </row>
    <row r="6">
      <c r="A6" s="12" t="inlineStr">
        <is>
          <r>
            <rPr>
              <rFont val="Times New Roman"/>
              <sz val="10.5"/>
              <color rgb="FF222222"/>
            </rPr>
            <t>income</t>
          </r>
        </is>
      </c>
      <c r="B6" s="12" t="inlineStr">
        <is>
          <r>
            <rPr>
              <rFont val="Times New Roman"/>
              <sz val="10.5"/>
              <color rgb="FF222222"/>
            </rPr>
            <t>8000-11999</t>
          </r>
        </is>
      </c>
      <c r="C6" s="13" t="n">
        <v>3500</v>
      </c>
      <c r="D6" s="13" t="n">
        <v>3000</v>
      </c>
      <c r="E6" s="15" t="n">
        <f>C6/SUM($C$4:$C$8)</f>
        <v>0.35</v>
      </c>
      <c r="F6" s="15" t="n">
        <f>D6/SUM($D$4:$D$8)</f>
        <v>0.3</v>
      </c>
      <c r="G6" s="15" t="n">
        <f>F6-E6</f>
        <v>-0.04999999999999999</v>
      </c>
      <c r="H6" s="20" t="n">
        <f>F6/E6</f>
        <v>0.8571428571428572</v>
      </c>
      <c r="I6" s="20" t="n">
        <f>G6*LN(H6)</f>
        <v>0.007707533991362909</v>
      </c>
      <c r="J6" s="20"/>
    </row>
    <row r="7">
      <c r="A7" s="12" t="inlineStr">
        <is>
          <r>
            <rPr>
              <rFont val="Times New Roman"/>
              <sz val="10.5"/>
              <color rgb="FF222222"/>
            </rPr>
            <t>income</t>
          </r>
        </is>
      </c>
      <c r="B7" s="12" t="inlineStr">
        <is>
          <r>
            <rPr>
              <rFont val="Times New Roman"/>
              <sz val="10.5"/>
              <color rgb="FF222222"/>
            </rPr>
            <t>12000-15999</t>
          </r>
        </is>
      </c>
      <c r="C7" s="13" t="n">
        <v>2000</v>
      </c>
      <c r="D7" s="13" t="n">
        <v>1500</v>
      </c>
      <c r="E7" s="15" t="n">
        <f>C7/SUM($C$4:$C$8)</f>
        <v>0.2</v>
      </c>
      <c r="F7" s="15" t="n">
        <f>D7/SUM($D$4:$D$8)</f>
        <v>0.15</v>
      </c>
      <c r="G7" s="15" t="n">
        <f>F7-E7</f>
        <v>-0.05000000000000002</v>
      </c>
      <c r="H7" s="20" t="n">
        <f>F7/E7</f>
        <v>0.7499999999999999</v>
      </c>
      <c r="I7" s="20" t="n">
        <f>G7*LN(H7)</f>
        <v>0.014384103622589059</v>
      </c>
      <c r="J7" s="20"/>
    </row>
    <row r="8">
      <c r="A8" s="12" t="inlineStr">
        <is>
          <r>
            <rPr>
              <rFont val="Times New Roman"/>
              <sz val="10.5"/>
              <color rgb="FF222222"/>
            </rPr>
            <t>income</t>
          </r>
        </is>
      </c>
      <c r="B8" s="12" t="inlineStr">
        <is>
          <r>
            <rPr>
              <rFont val="Times New Roman"/>
              <sz val="10.5"/>
              <color rgb="FF222222"/>
            </rPr>
            <t>&gt;=16000</t>
          </r>
        </is>
      </c>
      <c r="C8" s="13" t="n">
        <v>1000</v>
      </c>
      <c r="D8" s="13" t="n">
        <v>700</v>
      </c>
      <c r="E8" s="15" t="n">
        <f>C8/SUM($C$4:$C$8)</f>
        <v>0.1</v>
      </c>
      <c r="F8" s="15" t="n">
        <f>D8/SUM($D$4:$D$8)</f>
        <v>0.07</v>
      </c>
      <c r="G8" s="15" t="n">
        <f>F8-E8</f>
        <v>-0.03</v>
      </c>
      <c r="H8" s="20" t="n">
        <f>F8/E8</f>
        <v>0.7000000000000001</v>
      </c>
      <c r="I8" s="20" t="n">
        <f>G8*LN(H8)</f>
        <v>0.010700248318161968</v>
      </c>
      <c r="J8" s="20"/>
    </row>
    <row r="9">
      <c r="A9" s="12" t="inlineStr">
        <is>
          <r>
            <rPr>
              <rFont val="Times New Roman"/>
              <sz val="10.5"/>
              <color rgb="FF222222"/>
            </rPr>
            <t>credit_score</t>
          </r>
        </is>
      </c>
      <c r="B9" s="12" t="inlineStr">
        <is>
          <r>
            <rPr>
              <rFont val="Times New Roman"/>
              <sz val="10.5"/>
              <color rgb="FF222222"/>
            </rPr>
            <t>&lt;600</t>
          </r>
        </is>
      </c>
      <c r="C9" s="13" t="n">
        <v>800</v>
      </c>
      <c r="D9" s="13" t="n">
        <v>1000</v>
      </c>
      <c r="E9" s="15" t="n">
        <f>C9/SUM($C$9:$C$13)</f>
        <v>0.08</v>
      </c>
      <c r="F9" s="15" t="n">
        <f>D9/SUM($D$9:$D$13)</f>
        <v>0.1</v>
      </c>
      <c r="G9" s="15" t="n">
        <f>F9-E9</f>
        <v>0.020000000000000004</v>
      </c>
      <c r="H9" s="20" t="n">
        <f>F9/E9</f>
        <v>1.25</v>
      </c>
      <c r="I9" s="20" t="n">
        <f>G9*LN(H9)</f>
        <v>0.004462871026284196</v>
      </c>
      <c r="J9" s="20" t="n">
        <f>SUM(I9:I13)</f>
        <v>0.01373452947112808</v>
      </c>
    </row>
    <row r="10">
      <c r="A10" s="12" t="inlineStr">
        <is>
          <r>
            <rPr>
              <rFont val="Times New Roman"/>
              <sz val="10.5"/>
              <color rgb="FF222222"/>
            </rPr>
            <t>credit_score</t>
          </r>
        </is>
      </c>
      <c r="B10" s="12" t="inlineStr">
        <is>
          <r>
            <rPr>
              <rFont val="Times New Roman"/>
              <sz val="10.5"/>
              <color rgb="FF222222"/>
            </rPr>
            <t>600-649</t>
          </r>
        </is>
      </c>
      <c r="C10" s="13" t="n">
        <v>1800</v>
      </c>
      <c r="D10" s="13" t="n">
        <v>2000</v>
      </c>
      <c r="E10" s="15" t="n">
        <f>C10/SUM($C$9:$C$13)</f>
        <v>0.18</v>
      </c>
      <c r="F10" s="15" t="n">
        <f>D10/SUM($D$9:$D$13)</f>
        <v>0.2</v>
      </c>
      <c r="G10" s="15" t="n">
        <f>F10-E10</f>
        <v>0.020000000000000018</v>
      </c>
      <c r="H10" s="20" t="n">
        <f>F10/E10</f>
        <v>1.1111111111111112</v>
      </c>
      <c r="I10" s="20" t="n">
        <f>G10*LN(H10)</f>
        <v>0.002107210313156529</v>
      </c>
      <c r="J10" s="20"/>
    </row>
    <row r="11">
      <c r="A11" s="12" t="inlineStr">
        <is>
          <r>
            <rPr>
              <rFont val="Times New Roman"/>
              <sz val="10.5"/>
              <color rgb="FF222222"/>
            </rPr>
            <t>credit_score</t>
          </r>
        </is>
      </c>
      <c r="B11" s="12" t="inlineStr">
        <is>
          <r>
            <rPr>
              <rFont val="Times New Roman"/>
              <sz val="10.5"/>
              <color rgb="FF222222"/>
            </rPr>
            <t>650-699</t>
          </r>
        </is>
      </c>
      <c r="C11" s="13" t="n">
        <v>3400</v>
      </c>
      <c r="D11" s="13" t="n">
        <v>3500</v>
      </c>
      <c r="E11" s="15" t="n">
        <f>C11/SUM($C$9:$C$13)</f>
        <v>0.34</v>
      </c>
      <c r="F11" s="15" t="n">
        <f>D11/SUM($D$9:$D$13)</f>
        <v>0.35</v>
      </c>
      <c r="G11" s="15" t="n">
        <f>F11-E11</f>
        <v>0.009999999999999953</v>
      </c>
      <c r="H11" s="20" t="n">
        <f>F11/E11</f>
        <v>1.0294117647058822</v>
      </c>
      <c r="I11" s="20" t="n">
        <f>G11*LN(H11)</f>
        <v>0.0002898753687325205</v>
      </c>
      <c r="J11" s="20"/>
    </row>
    <row r="12">
      <c r="A12" s="12" t="inlineStr">
        <is>
          <r>
            <rPr>
              <rFont val="Times New Roman"/>
              <sz val="10.5"/>
              <color rgb="FF222222"/>
            </rPr>
            <t>credit_score</t>
          </r>
        </is>
      </c>
      <c r="B12" s="12" t="inlineStr">
        <is>
          <r>
            <rPr>
              <rFont val="Times New Roman"/>
              <sz val="10.5"/>
              <color rgb="FF222222"/>
            </rPr>
            <t>700-749</t>
          </r>
        </is>
      </c>
      <c r="C12" s="13" t="n">
        <v>2700</v>
      </c>
      <c r="D12" s="13" t="n">
        <v>2400</v>
      </c>
      <c r="E12" s="15" t="n">
        <f>C12/SUM($C$9:$C$13)</f>
        <v>0.27</v>
      </c>
      <c r="F12" s="15" t="n">
        <f>D12/SUM($D$9:$D$13)</f>
        <v>0.24</v>
      </c>
      <c r="G12" s="15" t="n">
        <f>F12-E12</f>
        <v>-0.030000000000000027</v>
      </c>
      <c r="H12" s="20" t="n">
        <f>F12/E12</f>
        <v>0.8888888888888888</v>
      </c>
      <c r="I12" s="20" t="n">
        <f>G12*LN(H12)</f>
        <v>0.0035334910696915084</v>
      </c>
      <c r="J12" s="20"/>
    </row>
    <row r="13">
      <c r="A13" s="12" t="inlineStr">
        <is>
          <r>
            <rPr>
              <rFont val="Times New Roman"/>
              <sz val="10.5"/>
              <color rgb="FF222222"/>
            </rPr>
            <t>credit_score</t>
          </r>
        </is>
      </c>
      <c r="B13" s="12" t="inlineStr">
        <is>
          <r>
            <rPr>
              <rFont val="Times New Roman"/>
              <sz val="10.5"/>
              <color rgb="FF222222"/>
            </rPr>
            <t>&gt;=750</t>
          </r>
        </is>
      </c>
      <c r="C13" s="13" t="n">
        <v>1300</v>
      </c>
      <c r="D13" s="13" t="n">
        <v>1100</v>
      </c>
      <c r="E13" s="15" t="n">
        <f>C13/SUM($C$9:$C$13)</f>
        <v>0.13</v>
      </c>
      <c r="F13" s="15" t="n">
        <f>D13/SUM($D$9:$D$13)</f>
        <v>0.11</v>
      </c>
      <c r="G13" s="15" t="n">
        <f>F13-E13</f>
        <v>-0.020000000000000004</v>
      </c>
      <c r="H13" s="20" t="n">
        <f>F13/E13</f>
        <v>0.8461538461538461</v>
      </c>
      <c r="I13" s="20" t="n">
        <f>G13*LN(H13)</f>
        <v>0.003341081693263325</v>
      </c>
      <c r="J13" s="20"/>
    </row>
    <row r="14">
      <c r="A14" s="12" t="inlineStr">
        <is>
          <r>
            <rPr>
              <rFont val="Times New Roman"/>
              <sz val="10.5"/>
              <color rgb="FF222222"/>
            </rPr>
            <t>debt_ratio</t>
          </r>
        </is>
      </c>
      <c r="B14" s="12" t="inlineStr">
        <is>
          <r>
            <rPr>
              <rFont val="Times New Roman"/>
              <sz val="10.5"/>
              <color rgb="FF222222"/>
            </rPr>
            <t>&lt;20%</t>
          </r>
        </is>
      </c>
      <c r="C14" s="13" t="n">
        <v>2500</v>
      </c>
      <c r="D14" s="13" t="n">
        <v>1200</v>
      </c>
      <c r="E14" s="15" t="n">
        <f>C14/SUM($C$14:$C$18)</f>
        <v>0.25</v>
      </c>
      <c r="F14" s="15" t="n">
        <f>D14/SUM($D$14:$D$18)</f>
        <v>0.12</v>
      </c>
      <c r="G14" s="15" t="n">
        <f>F14-E14</f>
        <v>-0.13</v>
      </c>
      <c r="H14" s="20" t="n">
        <f>F14/E14</f>
        <v>0.48</v>
      </c>
      <c r="I14" s="20" t="n">
        <f>G14*LN(H14)</f>
        <v>0.09541599276042606</v>
      </c>
      <c r="J14" s="20" t="n">
        <f>SUM(I14:I18)</f>
        <v>0.2655159177703591</v>
      </c>
    </row>
    <row r="15">
      <c r="A15" s="12" t="inlineStr">
        <is>
          <r>
            <rPr>
              <rFont val="Times New Roman"/>
              <sz val="10.5"/>
              <color rgb="FF222222"/>
            </rPr>
            <t>debt_ratio</t>
          </r>
        </is>
      </c>
      <c r="B15" s="12" t="inlineStr">
        <is>
          <r>
            <rPr>
              <rFont val="Times New Roman"/>
              <sz val="10.5"/>
              <color rgb="FF222222"/>
            </rPr>
            <t>20%-34.99%</t>
          </r>
        </is>
      </c>
      <c r="C15" s="13" t="n">
        <v>3000</v>
      </c>
      <c r="D15" s="13" t="n">
        <v>2200</v>
      </c>
      <c r="E15" s="15" t="n">
        <f>C15/SUM($C$14:$C$18)</f>
        <v>0.3</v>
      </c>
      <c r="F15" s="15" t="n">
        <f>D15/SUM($D$14:$D$18)</f>
        <v>0.22</v>
      </c>
      <c r="G15" s="15" t="n">
        <f>F15-E15</f>
        <v>-0.07999999999999999</v>
      </c>
      <c r="H15" s="20" t="n">
        <f>F15/E15</f>
        <v>0.7333333333333334</v>
      </c>
      <c r="I15" s="20" t="n">
        <f>G15*LN(H15)</f>
        <v>0.02481239426430715</v>
      </c>
      <c r="J15" s="20"/>
    </row>
    <row r="16">
      <c r="A16" s="12" t="inlineStr">
        <is>
          <r>
            <rPr>
              <rFont val="Times New Roman"/>
              <sz val="10.5"/>
              <color rgb="FF222222"/>
            </rPr>
            <t>debt_ratio</t>
          </r>
        </is>
      </c>
      <c r="B16" s="12" t="inlineStr">
        <is>
          <r>
            <rPr>
              <rFont val="Times New Roman"/>
              <sz val="10.5"/>
              <color rgb="FF222222"/>
            </rPr>
            <t>35%-49.99%</t>
          </r>
        </is>
      </c>
      <c r="C16" s="13" t="n">
        <v>2500</v>
      </c>
      <c r="D16" s="13" t="n">
        <v>2700</v>
      </c>
      <c r="E16" s="15" t="n">
        <f>C16/SUM($C$14:$C$18)</f>
        <v>0.25</v>
      </c>
      <c r="F16" s="15" t="n">
        <f>D16/SUM($D$14:$D$18)</f>
        <v>0.27</v>
      </c>
      <c r="G16" s="15" t="n">
        <f>F16-E16</f>
        <v>0.020000000000000018</v>
      </c>
      <c r="H16" s="20" t="n">
        <f>F16/E16</f>
        <v>1.08</v>
      </c>
      <c r="I16" s="20" t="n">
        <f>G16*LN(H16)</f>
        <v>0.0015392208227225693</v>
      </c>
      <c r="J16" s="20"/>
    </row>
    <row r="17">
      <c r="A17" s="12" t="inlineStr">
        <is>
          <r>
            <rPr>
              <rFont val="Times New Roman"/>
              <sz val="10.5"/>
              <color rgb="FF222222"/>
            </rPr>
            <t>debt_ratio</t>
          </r>
        </is>
      </c>
      <c r="B17" s="12" t="inlineStr">
        <is>
          <r>
            <rPr>
              <rFont val="Times New Roman"/>
              <sz val="10.5"/>
              <color rgb="FF222222"/>
            </rPr>
            <t>50%-64.99%</t>
          </r>
        </is>
      </c>
      <c r="C17" s="13" t="n">
        <v>1500</v>
      </c>
      <c r="D17" s="13" t="n">
        <v>2500</v>
      </c>
      <c r="E17" s="15" t="n">
        <f>C17/SUM($C$14:$C$18)</f>
        <v>0.15</v>
      </c>
      <c r="F17" s="15" t="n">
        <f>D17/SUM($D$14:$D$18)</f>
        <v>0.25</v>
      </c>
      <c r="G17" s="15" t="n">
        <f>F17-E17</f>
        <v>0.1</v>
      </c>
      <c r="H17" s="20" t="n">
        <f>F17/E17</f>
        <v>1.6666666666666667</v>
      </c>
      <c r="I17" s="20" t="n">
        <f>G17*LN(H17)</f>
        <v>0.051082562376599076</v>
      </c>
      <c r="J17" s="20"/>
    </row>
    <row r="18">
      <c r="A18" s="12" t="inlineStr">
        <is>
          <r>
            <rPr>
              <rFont val="Times New Roman"/>
              <sz val="10.5"/>
              <color rgb="FF222222"/>
            </rPr>
            <t>debt_ratio</t>
          </r>
        </is>
      </c>
      <c r="B18" s="12" t="inlineStr">
        <is>
          <r>
            <rPr>
              <rFont val="Times New Roman"/>
              <sz val="10.5"/>
              <color rgb="FF222222"/>
            </rPr>
            <t>&gt;=65%</t>
          </r>
        </is>
      </c>
      <c r="C18" s="13" t="n">
        <v>500</v>
      </c>
      <c r="D18" s="13" t="n">
        <v>1400</v>
      </c>
      <c r="E18" s="15" t="n">
        <f>C18/SUM($C$14:$C$18)</f>
        <v>0.05</v>
      </c>
      <c r="F18" s="15" t="n">
        <f>D18/SUM($D$14:$D$18)</f>
        <v>0.14</v>
      </c>
      <c r="G18" s="15" t="n">
        <f>F18-E18</f>
        <v>0.09000000000000001</v>
      </c>
      <c r="H18" s="20" t="n">
        <f>F18/E18</f>
        <v>2.8000000000000003</v>
      </c>
      <c r="I18" s="20" t="n">
        <f>G18*LN(H18)</f>
        <v>0.09266574754630426</v>
      </c>
      <c r="J18" s="20"/>
    </row>
    <row r="19">
      <c r="A19" s="12" t="inlineStr">
        <is>
          <r>
            <rPr>
              <rFont val="Times New Roman"/>
              <sz val="10.5"/>
              <color rgb="FF222222"/>
            </rPr>
            <t>transaction_frequency</t>
          </r>
        </is>
      </c>
      <c r="B19" s="12" t="inlineStr">
        <is>
          <r>
            <rPr>
              <rFont val="Times New Roman"/>
              <sz val="10.5"/>
              <color rgb="FF222222"/>
            </rPr>
            <t>0-2</t>
          </r>
        </is>
      </c>
      <c r="C19" s="13" t="n">
        <v>800</v>
      </c>
      <c r="D19" s="13" t="n">
        <v>2200</v>
      </c>
      <c r="E19" s="15" t="n">
        <f>C19/SUM($C$19:$C$23)</f>
        <v>0.08</v>
      </c>
      <c r="F19" s="15" t="n">
        <f>D19/SUM($D$19:$D$23)</f>
        <v>0.22</v>
      </c>
      <c r="G19" s="15" t="n">
        <f>F19-E19</f>
        <v>0.14</v>
      </c>
      <c r="H19" s="20" t="n">
        <f>F19/E19</f>
        <v>2.75</v>
      </c>
      <c r="I19" s="20" t="n">
        <f>G19*LN(H19)</f>
        <v>0.1416241276349872</v>
      </c>
      <c r="J19" s="20" t="n">
        <f>SUM(I19:I23)</f>
        <v>0.3117233259664284</v>
      </c>
    </row>
    <row r="20">
      <c r="A20" s="12" t="inlineStr">
        <is>
          <r>
            <rPr>
              <rFont val="Times New Roman"/>
              <sz val="10.5"/>
              <color rgb="FF222222"/>
            </rPr>
            <t>transaction_frequency</t>
          </r>
        </is>
      </c>
      <c r="B20" s="12" t="inlineStr">
        <is>
          <r>
            <rPr>
              <rFont val="Times New Roman"/>
              <sz val="10.5"/>
              <color rgb="FF222222"/>
            </rPr>
            <t>3-5</t>
          </r>
        </is>
      </c>
      <c r="C20" s="13" t="n">
        <v>2000</v>
      </c>
      <c r="D20" s="13" t="n">
        <v>3000</v>
      </c>
      <c r="E20" s="15" t="n">
        <f>C20/SUM($C$19:$C$23)</f>
        <v>0.2</v>
      </c>
      <c r="F20" s="15" t="n">
        <f>D20/SUM($D$19:$D$23)</f>
        <v>0.3</v>
      </c>
      <c r="G20" s="15" t="n">
        <f>F20-E20</f>
        <v>0.09999999999999998</v>
      </c>
      <c r="H20" s="20" t="n">
        <f>F20/E20</f>
        <v>1.4999999999999998</v>
      </c>
      <c r="I20" s="20" t="n">
        <f>G20*LN(H20)</f>
        <v>0.040546510810816415</v>
      </c>
      <c r="J20" s="20"/>
    </row>
    <row r="21">
      <c r="A21" s="12" t="inlineStr">
        <is>
          <r>
            <rPr>
              <rFont val="Times New Roman"/>
              <sz val="10.5"/>
              <color rgb="FF222222"/>
            </rPr>
            <t>transaction_frequency</t>
          </r>
        </is>
      </c>
      <c r="B21" s="12" t="inlineStr">
        <is>
          <r>
            <rPr>
              <rFont val="Times New Roman"/>
              <sz val="10.5"/>
              <color rgb="FF222222"/>
            </rPr>
            <t>6-9</t>
          </r>
        </is>
      </c>
      <c r="C21" s="13" t="n">
        <v>3400</v>
      </c>
      <c r="D21" s="13" t="n">
        <v>2800</v>
      </c>
      <c r="E21" s="15" t="n">
        <f>C21/SUM($C$19:$C$23)</f>
        <v>0.34</v>
      </c>
      <c r="F21" s="15" t="n">
        <f>D21/SUM($D$19:$D$23)</f>
        <v>0.28</v>
      </c>
      <c r="G21" s="15" t="n">
        <f>F21-E21</f>
        <v>-0.06</v>
      </c>
      <c r="H21" s="20" t="n">
        <f>F21/E21</f>
        <v>0.823529411764706</v>
      </c>
      <c r="I21" s="20" t="n">
        <f>G21*LN(H21)</f>
        <v>0.011649360866457441</v>
      </c>
      <c r="J21" s="20"/>
    </row>
    <row r="22">
      <c r="A22" s="12" t="inlineStr">
        <is>
          <r>
            <rPr>
              <rFont val="Times New Roman"/>
              <sz val="10.5"/>
              <color rgb="FF222222"/>
            </rPr>
            <t>transaction_frequency</t>
          </r>
        </is>
      </c>
      <c r="B22" s="12" t="inlineStr">
        <is>
          <r>
            <rPr>
              <rFont val="Times New Roman"/>
              <sz val="10.5"/>
              <color rgb="FF222222"/>
            </rPr>
            <t>10-14</t>
          </r>
        </is>
      </c>
      <c r="C22" s="13" t="n">
        <v>2500</v>
      </c>
      <c r="D22" s="13" t="n">
        <v>1400</v>
      </c>
      <c r="E22" s="15" t="n">
        <f>C22/SUM($C$19:$C$23)</f>
        <v>0.25</v>
      </c>
      <c r="F22" s="15" t="n">
        <f>D22/SUM($D$19:$D$23)</f>
        <v>0.14</v>
      </c>
      <c r="G22" s="15" t="n">
        <f>F22-E22</f>
        <v>-0.10999999999999999</v>
      </c>
      <c r="H22" s="20" t="n">
        <f>F22/E22</f>
        <v>0.56</v>
      </c>
      <c r="I22" s="20" t="n">
        <f>G22*LN(H22)</f>
        <v>0.06378003447782361</v>
      </c>
      <c r="J22" s="20"/>
    </row>
    <row r="23">
      <c r="A23" s="12" t="inlineStr">
        <is>
          <r>
            <rPr>
              <rFont val="Times New Roman"/>
              <sz val="10.5"/>
              <color rgb="FF222222"/>
            </rPr>
            <t>transaction_frequency</t>
          </r>
        </is>
      </c>
      <c r="B23" s="12" t="inlineStr">
        <is>
          <r>
            <rPr>
              <rFont val="Times New Roman"/>
              <sz val="10.5"/>
              <color rgb="FF222222"/>
            </rPr>
            <t>&gt;=15</t>
          </r>
        </is>
      </c>
      <c r="C23" s="13" t="n">
        <v>1300</v>
      </c>
      <c r="D23" s="13" t="n">
        <v>600</v>
      </c>
      <c r="E23" s="15" t="n">
        <f>C23/SUM($C$19:$C$23)</f>
        <v>0.13</v>
      </c>
      <c r="F23" s="15" t="n">
        <f>D23/SUM($D$19:$D$23)</f>
        <v>0.06</v>
      </c>
      <c r="G23" s="15" t="n">
        <f>F23-E23</f>
        <v>-0.07</v>
      </c>
      <c r="H23" s="20" t="n">
        <f>F23/E23</f>
        <v>0.4615384615384615</v>
      </c>
      <c r="I23" s="20" t="n">
        <f>G23*LN(H23)</f>
        <v>0.05412329217634373</v>
      </c>
      <c r="J23" s="20"/>
    </row>
  </sheetData>
  <mergeCells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A5A5A5"/>
  </sheetPr>
  <sheetViews>
    <sheetView showGridLines="0" workbookViewId="0"/>
  </sheetViews>
  <sheetFormatPr defaultRowHeight="15"/>
  <cols>
    <col min="1" max="1" width="24" hidden="0" customWidth="1"/>
    <col min="2" max="2" width="16" hidden="0" customWidth="1"/>
    <col min="3" max="3" width="16" hidden="0" customWidth="1"/>
    <col min="4" max="4" width="17" hidden="0" customWidth="1"/>
    <col min="5" max="5" width="26" hidden="0" customWidth="1"/>
  </cols>
  <sheetData>
    <row r="1" ht="26" customHeight="1">
      <c r="A1" s="2" t="inlineStr">
        <is>
          <r>
            <rPr>
              <rFont val="SimSun"/>
              <b/>
              <sz val="14"/>
              <color rgb="FF000000"/>
            </rPr>
            <t>供应商</t>
          </r>
          <r>
            <rPr>
              <rFont val="Times New Roman"/>
              <b/>
              <sz val="14"/>
              <color rgb="FF000000"/>
            </rPr>
            <t>PSI</t>
          </r>
          <r>
            <rPr>
              <rFont val="SimSun"/>
              <b/>
              <sz val="14"/>
              <color rgb="FF000000"/>
            </rPr>
            <t>摘要</t>
          </r>
        </is>
      </c>
    </row>
    <row r="2">
      <c r="A2" s="3"/>
      <c r="B2" s="3"/>
      <c r="C2" s="3"/>
      <c r="D2" s="3"/>
      <c r="E2" s="3"/>
    </row>
    <row r="3">
      <c r="A3" s="9" t="inlineStr">
        <is>
          <r>
            <rPr>
              <rFont val="SimSun"/>
              <b/>
              <sz val="10.5"/>
              <color rgb="FFFFFFFF"/>
            </rPr>
            <t>变量</t>
          </r>
        </is>
      </c>
      <c r="B3" s="9" t="inlineStr">
        <is>
          <r>
            <rPr>
              <rFont val="SimSun"/>
              <b/>
              <sz val="10.5"/>
              <color rgb="FFFFFFFF"/>
            </rPr>
            <t>供应商报告值</t>
          </r>
        </is>
      </c>
      <c r="C3" s="9" t="inlineStr">
        <is>
          <r>
            <rPr>
              <rFont val="SimSun"/>
              <b/>
              <sz val="10.5"/>
              <color rgb="FFFFFFFF"/>
            </rPr>
            <t>风险等级</t>
          </r>
        </is>
      </c>
      <c r="D3" s="9" t="inlineStr">
        <is>
          <r>
            <rPr>
              <rFont val="SimSun"/>
              <b/>
              <sz val="10.5"/>
              <color rgb="FFFFFFFF"/>
            </rPr>
            <t>报告生成日</t>
          </r>
        </is>
      </c>
      <c r="E3" s="9" t="inlineStr">
        <is>
          <r>
            <rPr>
              <rFont val="SimSun"/>
              <b/>
              <sz val="10.5"/>
              <color rgb="FFFFFFFF"/>
            </rPr>
            <t>备注</t>
          </r>
        </is>
      </c>
    </row>
    <row r="4">
      <c r="A4" s="12" t="inlineStr">
        <is>
          <r>
            <rPr>
              <rFont val="Times New Roman"/>
              <sz val="10.5"/>
              <color rgb="FF222222"/>
            </rPr>
            <t>income</t>
          </r>
        </is>
      </c>
      <c r="B4" s="20" t="n">
        <v>0.31</v>
      </c>
      <c r="C4" s="12" t="inlineStr">
        <is>
          <r>
            <rPr>
              <rFont val="SimSun"/>
              <sz val="10.5"/>
              <color rgb="FF222222"/>
            </rPr>
            <t>显著漂移</t>
          </r>
        </is>
      </c>
      <c r="D4" s="12" t="inlineStr">
        <is>
          <r>
            <rPr>
              <rFont val="Times New Roman"/>
              <sz val="10.5"/>
              <color rgb="FF222222"/>
            </rPr>
            <t>2026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月</t>
          </r>
          <r>
            <rPr>
              <rFont val="Times New Roman"/>
              <sz val="10.5"/>
              <color rgb="FF222222"/>
            </rPr>
            <t>8</t>
          </r>
          <r>
            <rPr>
              <rFont val="SimSun"/>
              <sz val="10.5"/>
              <color rgb="FF222222"/>
            </rPr>
            <t>日</t>
          </r>
        </is>
      </c>
      <c r="E4" s="12" t="inlineStr">
        <is>
          <r>
            <rPr>
              <rFont val="SimSun"/>
              <sz val="10.5"/>
              <color rgb="FF222222"/>
            </rPr>
            <t>供应商批处理结果</t>
          </r>
        </is>
      </c>
    </row>
    <row r="5">
      <c r="A5" s="12" t="inlineStr">
        <is>
          <r>
            <rPr>
              <rFont val="Times New Roman"/>
              <sz val="10.5"/>
              <color rgb="FF222222"/>
            </rPr>
            <t>credit_score</t>
          </r>
        </is>
      </c>
      <c r="B5" s="20" t="n">
        <v>0.18</v>
      </c>
      <c r="C5" s="12" t="inlineStr">
        <is>
          <r>
            <rPr>
              <rFont val="SimSun"/>
              <sz val="10.5"/>
              <color rgb="FF222222"/>
            </rPr>
            <t>关注</t>
          </r>
        </is>
      </c>
      <c r="D5" s="12" t="inlineStr">
        <is>
          <r>
            <rPr>
              <rFont val="Times New Roman"/>
              <sz val="10.5"/>
              <color rgb="FF222222"/>
            </rPr>
            <t>2026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月</t>
          </r>
          <r>
            <rPr>
              <rFont val="Times New Roman"/>
              <sz val="10.5"/>
              <color rgb="FF222222"/>
            </rPr>
            <t>8</t>
          </r>
          <r>
            <rPr>
              <rFont val="SimSun"/>
              <sz val="10.5"/>
              <color rgb="FF222222"/>
            </rPr>
            <t>日</t>
          </r>
        </is>
      </c>
      <c r="E5" s="12" t="inlineStr">
        <is>
          <r>
            <rPr>
              <rFont val="SimSun"/>
              <sz val="10.5"/>
              <color rgb="FF222222"/>
            </rPr>
            <t>供应商批处理结果</t>
          </r>
        </is>
      </c>
    </row>
    <row r="6">
      <c r="A6" s="12" t="inlineStr">
        <is>
          <r>
            <rPr>
              <rFont val="Times New Roman"/>
              <sz val="10.5"/>
              <color rgb="FF222222"/>
            </rPr>
            <t>debt_ratio</t>
          </r>
        </is>
      </c>
      <c r="B6" s="20" t="n">
        <v>0.28</v>
      </c>
      <c r="C6" s="12" t="inlineStr">
        <is>
          <r>
            <rPr>
              <rFont val="SimSun"/>
              <sz val="10.5"/>
              <color rgb="FF222222"/>
            </rPr>
            <t>显著漂移</t>
          </r>
        </is>
      </c>
      <c r="D6" s="12" t="inlineStr">
        <is>
          <r>
            <rPr>
              <rFont val="Times New Roman"/>
              <sz val="10.5"/>
              <color rgb="FF222222"/>
            </rPr>
            <t>2026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月</t>
          </r>
          <r>
            <rPr>
              <rFont val="Times New Roman"/>
              <sz val="10.5"/>
              <color rgb="FF222222"/>
            </rPr>
            <t>8</t>
          </r>
          <r>
            <rPr>
              <rFont val="SimSun"/>
              <sz val="10.5"/>
              <color rgb="FF222222"/>
            </rPr>
            <t>日</t>
          </r>
        </is>
      </c>
      <c r="E6" s="12" t="inlineStr">
        <is>
          <r>
            <rPr>
              <rFont val="SimSun"/>
              <sz val="10.5"/>
              <color rgb="FF222222"/>
            </rPr>
            <t>供应商批处理结果</t>
          </r>
        </is>
      </c>
    </row>
    <row r="7">
      <c r="A7" s="12" t="inlineStr">
        <is>
          <r>
            <rPr>
              <rFont val="Times New Roman"/>
              <sz val="10.5"/>
              <color rgb="FF222222"/>
            </rPr>
            <t>transaction_frequency</t>
          </r>
        </is>
      </c>
      <c r="B7" s="20" t="n">
        <v>0.35</v>
      </c>
      <c r="C7" s="12" t="inlineStr">
        <is>
          <r>
            <rPr>
              <rFont val="SimSun"/>
              <sz val="10.5"/>
              <color rgb="FF222222"/>
            </rPr>
            <t>显著漂移</t>
          </r>
        </is>
      </c>
      <c r="D7" s="12" t="inlineStr">
        <is>
          <r>
            <rPr>
              <rFont val="Times New Roman"/>
              <sz val="10.5"/>
              <color rgb="FF222222"/>
            </rPr>
            <t>2026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月</t>
          </r>
          <r>
            <rPr>
              <rFont val="Times New Roman"/>
              <sz val="10.5"/>
              <color rgb="FF222222"/>
            </rPr>
            <t>8</t>
          </r>
          <r>
            <rPr>
              <rFont val="SimSun"/>
              <sz val="10.5"/>
              <color rgb="FF222222"/>
            </rPr>
            <t>日</t>
          </r>
        </is>
      </c>
      <c r="E7" s="12" t="inlineStr">
        <is>
          <r>
            <rPr>
              <rFont val="SimSun"/>
              <sz val="10.5"/>
              <color rgb="FF222222"/>
            </rPr>
            <t>供应商批处理结果</t>
          </r>
        </is>
      </c>
    </row>
    <row r="9">
      <c r="A9" s="21" t="inlineStr">
        <is>
          <r>
            <rPr>
              <rFont val="SimSun"/>
              <b/>
              <sz val="11"/>
            </rPr>
            <t>数据说明</t>
          </r>
        </is>
      </c>
      <c r="B9" s="21"/>
      <c r="C9" s="21"/>
      <c r="D9" s="21"/>
      <c r="E9" s="21"/>
    </row>
    <row r="10">
      <c r="A10" s="23" t="inlineStr">
        <is>
          <r>
            <rPr>
              <rFont val="SimSun"/>
              <sz val="10.5"/>
            </rPr>
            <t>该表由外部监控供应商提供，未附计算底稿。治理判断应按治理要求说明中的证据优先级核对原始分箱数据。</t>
          </r>
        </is>
      </c>
      <c r="B10" s="23"/>
      <c r="C10" s="23"/>
      <c r="D10" s="23"/>
      <c r="E10" s="23"/>
    </row>
  </sheetData>
  <mergeCells>
    <mergeCell ref="A1:E1"/>
    <mergeCell ref="A9:E9"/>
    <mergeCell ref="A10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70AD47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14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18" hidden="0" customWidth="1"/>
  </cols>
  <sheetData>
    <row r="1" ht="26" customHeight="1">
      <c r="A1" s="2" t="inlineStr">
        <is>
          <r>
            <rPr>
              <rFont val="SimSun"/>
              <b/>
              <sz val="14"/>
              <color rgb="FF000000"/>
            </rPr>
            <t>评分带迁移与</t>
          </r>
          <r>
            <rPr>
              <rFont val="Times New Roman"/>
              <b/>
              <sz val="14"/>
              <color rgb="FF000000"/>
            </rPr>
            <t>30</t>
          </r>
          <r>
            <rPr>
              <rFont val="SimSun"/>
              <b/>
              <sz val="14"/>
              <color rgb="FF000000"/>
            </rPr>
            <t>天逾期表现</t>
          </r>
        </is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>
      <c r="A3" s="9" t="inlineStr">
        <is>
          <r>
            <rPr>
              <rFont val="SimSun"/>
              <b/>
              <sz val="10.5"/>
              <color rgb="FFFFFFFF"/>
            </rPr>
            <t>评分带</t>
          </r>
        </is>
      </c>
      <c r="B3" s="9" t="inlineStr">
        <is>
          <r>
            <rPr>
              <rFont val="SimSun"/>
              <b/>
              <sz val="10.5"/>
              <color rgb="FFFFFFFF"/>
            </rPr>
            <t>基准样本数</t>
          </r>
        </is>
      </c>
      <c r="C3" s="9" t="inlineStr">
        <is>
          <r>
            <rPr>
              <rFont val="SimSun"/>
              <b/>
              <sz val="10.5"/>
              <color rgb="FFFFFFFF"/>
            </rPr>
            <t>基准逾期数</t>
          </r>
        </is>
      </c>
      <c r="D3" s="9" t="inlineStr">
        <is>
          <r>
            <rPr>
              <rFont val="SimSun"/>
              <b/>
              <sz val="10.5"/>
              <color rgb="FFFFFFFF"/>
            </rPr>
            <t>基准逾期率</t>
          </r>
        </is>
      </c>
      <c r="E3" s="9" t="inlineStr">
        <is>
          <r>
            <rPr>
              <rFont val="SimSun"/>
              <b/>
              <sz val="10.5"/>
              <color rgb="FFFFFFFF"/>
            </rPr>
            <t>当前样本数</t>
          </r>
        </is>
      </c>
      <c r="F3" s="9" t="inlineStr">
        <is>
          <r>
            <rPr>
              <rFont val="SimSun"/>
              <b/>
              <sz val="10.5"/>
              <color rgb="FFFFFFFF"/>
            </rPr>
            <t>当前逾期数</t>
          </r>
        </is>
      </c>
      <c r="G3" s="9" t="inlineStr">
        <is>
          <r>
            <rPr>
              <rFont val="SimSun"/>
              <b/>
              <sz val="10.5"/>
              <color rgb="FFFFFFFF"/>
            </rPr>
            <t>当前逾期率</t>
          </r>
        </is>
      </c>
      <c r="H3" s="9" t="inlineStr">
        <is>
          <r>
            <rPr>
              <rFont val="SimSun"/>
              <b/>
              <sz val="10.5"/>
              <color rgb="FFFFFFFF"/>
            </rPr>
            <t>率差</t>
          </r>
        </is>
      </c>
      <c r="I3" s="9" t="inlineStr">
        <is>
          <r>
            <rPr>
              <rFont val="SimSun"/>
              <b/>
              <sz val="10.5"/>
              <color rgb="FFFFFFFF"/>
            </rPr>
            <t>按基准率计算的当前预期逾期数</t>
          </r>
        </is>
      </c>
      <c r="J3" s="9" t="inlineStr">
        <is>
          <r>
            <rPr>
              <rFont val="SimSun"/>
              <b/>
              <sz val="10.5"/>
              <color rgb="FFFFFFFF"/>
            </rPr>
            <t>当前相对预期超额逾期数</t>
          </r>
        </is>
      </c>
    </row>
    <row r="4">
      <c r="A4" s="12" t="inlineStr">
        <is>
          <r>
            <rPr>
              <rFont val="Times New Roman"/>
              <sz val="10.5"/>
              <color rgb="FF222222"/>
            </rPr>
            <t>&lt;600</t>
          </r>
        </is>
      </c>
      <c r="B4" s="13" t="n">
        <v>1000</v>
      </c>
      <c r="C4" s="13" t="n">
        <v>60</v>
      </c>
      <c r="D4" s="15" t="n">
        <f>C4/B4</f>
        <v>0.06</v>
      </c>
      <c r="E4" s="13" t="n">
        <v>1500</v>
      </c>
      <c r="F4" s="13" t="n">
        <v>96</v>
      </c>
      <c r="G4" s="15" t="n">
        <f>F4/E4</f>
        <v>0.064</v>
      </c>
      <c r="H4" s="15" t="n">
        <f>G4-D4</f>
        <v>0.0040000000000000036</v>
      </c>
      <c r="I4" s="28" t="n">
        <f>E4*D4</f>
        <v>90</v>
      </c>
      <c r="J4" s="28" t="n">
        <f>F4-I4</f>
        <v>6</v>
      </c>
    </row>
    <row r="5">
      <c r="A5" s="12" t="inlineStr">
        <is>
          <r>
            <rPr>
              <rFont val="Times New Roman"/>
              <sz val="10.5"/>
              <color rgb="FF222222"/>
            </rPr>
            <t>600-649</t>
          </r>
        </is>
      </c>
      <c r="B5" s="13" t="n">
        <v>2000</v>
      </c>
      <c r="C5" s="13" t="n">
        <v>60</v>
      </c>
      <c r="D5" s="15" t="n">
        <f>C5/B5</f>
        <v>0.03</v>
      </c>
      <c r="E5" s="13" t="n">
        <v>2500</v>
      </c>
      <c r="F5" s="13" t="n">
        <v>84</v>
      </c>
      <c r="G5" s="15" t="n">
        <f>F5/E5</f>
        <v>0.0336</v>
      </c>
      <c r="H5" s="15" t="n">
        <f>G5-D5</f>
        <v>0.003599999999999999</v>
      </c>
      <c r="I5" s="28" t="n">
        <f>E5*D5</f>
        <v>75</v>
      </c>
      <c r="J5" s="28" t="n">
        <f>F5-I5</f>
        <v>9</v>
      </c>
    </row>
    <row r="6">
      <c r="A6" s="12" t="inlineStr">
        <is>
          <r>
            <rPr>
              <rFont val="Times New Roman"/>
              <sz val="10.5"/>
              <color rgb="FF222222"/>
            </rPr>
            <t>650-699</t>
          </r>
        </is>
      </c>
      <c r="B6" s="13" t="n">
        <v>3000</v>
      </c>
      <c r="C6" s="13" t="n">
        <v>36</v>
      </c>
      <c r="D6" s="15" t="n">
        <f>C6/B6</f>
        <v>0.012</v>
      </c>
      <c r="E6" s="13" t="n">
        <v>3000</v>
      </c>
      <c r="F6" s="13" t="n">
        <v>48</v>
      </c>
      <c r="G6" s="15" t="n">
        <f>F6/E6</f>
        <v>0.016</v>
      </c>
      <c r="H6" s="15" t="n">
        <f>G6-D6</f>
        <v>0.004</v>
      </c>
      <c r="I6" s="28" t="n">
        <f>E6*D6</f>
        <v>36</v>
      </c>
      <c r="J6" s="28" t="n">
        <f>F6-I6</f>
        <v>12</v>
      </c>
    </row>
    <row r="7">
      <c r="A7" s="12" t="inlineStr">
        <is>
          <r>
            <rPr>
              <rFont val="Times New Roman"/>
              <sz val="10.5"/>
              <color rgb="FF222222"/>
            </rPr>
            <t>700-749</t>
          </r>
        </is>
      </c>
      <c r="B7" s="13" t="n">
        <v>2500</v>
      </c>
      <c r="C7" s="13" t="n">
        <v>18</v>
      </c>
      <c r="D7" s="15" t="n">
        <f>C7/B7</f>
        <v>0.0072</v>
      </c>
      <c r="E7" s="13" t="n">
        <v>2000</v>
      </c>
      <c r="F7" s="13" t="n">
        <v>24</v>
      </c>
      <c r="G7" s="15" t="n">
        <f>F7/E7</f>
        <v>0.012</v>
      </c>
      <c r="H7" s="15" t="n">
        <f>G7-D7</f>
        <v>0.0048000000000000004</v>
      </c>
      <c r="I7" s="28" t="n">
        <f>E7*D7</f>
        <v>14.4</v>
      </c>
      <c r="J7" s="28" t="n">
        <f>F7-I7</f>
        <v>9.6</v>
      </c>
    </row>
    <row r="8">
      <c r="A8" s="12" t="inlineStr">
        <is>
          <r>
            <rPr>
              <rFont val="Times New Roman"/>
              <sz val="10.5"/>
              <color rgb="FF222222"/>
            </rPr>
            <t>&gt;=750</t>
          </r>
        </is>
      </c>
      <c r="B8" s="13" t="n">
        <v>1500</v>
      </c>
      <c r="C8" s="13" t="n">
        <v>6</v>
      </c>
      <c r="D8" s="15" t="n">
        <f>C8/B8</f>
        <v>0.004</v>
      </c>
      <c r="E8" s="13" t="n">
        <v>1000</v>
      </c>
      <c r="F8" s="13" t="n">
        <v>8</v>
      </c>
      <c r="G8" s="15" t="n">
        <f>F8/E8</f>
        <v>0.008</v>
      </c>
      <c r="H8" s="15" t="n">
        <f>G8-D8</f>
        <v>0.004</v>
      </c>
      <c r="I8" s="28" t="n">
        <f>E8*D8</f>
        <v>4</v>
      </c>
      <c r="J8" s="28" t="n">
        <f>F8-I8</f>
        <v>4</v>
      </c>
    </row>
    <row r="9">
      <c r="B9" s="26"/>
      <c r="C9" s="26"/>
      <c r="D9" s="27"/>
      <c r="E9" s="26"/>
      <c r="F9" s="26"/>
      <c r="G9" s="27"/>
      <c r="H9" s="27"/>
      <c r="I9" s="29"/>
      <c r="J9" s="29"/>
    </row>
    <row r="10">
      <c r="A10" s="12" t="inlineStr">
        <is>
          <r>
            <rPr>
              <rFont val="SimSun"/>
              <sz val="10.5"/>
              <color rgb="FF222222"/>
            </rPr>
            <t>合计</t>
          </r>
        </is>
      </c>
      <c r="B10" s="13" t="n">
        <v>10000</v>
      </c>
      <c r="C10" s="13" t="n">
        <v>180</v>
      </c>
      <c r="D10" s="15" t="n">
        <f>C10/B10</f>
        <v>0.018</v>
      </c>
      <c r="E10" s="13" t="n">
        <v>10000</v>
      </c>
      <c r="F10" s="13" t="n">
        <v>260</v>
      </c>
      <c r="G10" s="15" t="n">
        <f>F10/E10</f>
        <v>0.026</v>
      </c>
      <c r="H10" s="15"/>
      <c r="I10" s="28" t="n">
        <f>SUM(I4:I8)</f>
        <v>219.4</v>
      </c>
      <c r="J10" s="28" t="n">
        <f>SUM(J4:J8)</f>
        <v>40.6</v>
      </c>
    </row>
    <row r="11">
      <c r="A11" s="12" t="inlineStr">
        <is>
          <r>
            <rPr>
              <rFont val="SimSun"/>
              <sz val="10.5"/>
              <color rgb="FF222222"/>
            </rPr>
            <t>说明</t>
          </r>
        </is>
      </c>
      <c r="B11" s="25" t="inlineStr">
        <is>
          <r>
            <rPr>
              <rFont val="SimSun"/>
              <i/>
              <sz val="10.5"/>
              <color rgb="FF222222"/>
            </rPr>
            <t>基准样本与当前样本均为随机抽取的</t>
          </r>
          <r>
            <rPr>
              <rFont val="Times New Roman"/>
              <i/>
              <sz val="10.5"/>
              <color rgb="FF222222"/>
            </rPr>
            <t>10,000</t>
          </r>
          <r>
            <rPr>
              <rFont val="SimSun"/>
              <i/>
              <sz val="10.5"/>
              <color rgb="FF222222"/>
            </rPr>
            <t>笔已完成</t>
          </r>
          <r>
            <rPr>
              <rFont val="Times New Roman"/>
              <i/>
              <sz val="10.5"/>
              <color rgb="FF222222"/>
            </rPr>
            <t>30</t>
          </r>
          <r>
            <rPr>
              <rFont val="SimSun"/>
              <i/>
              <sz val="10.5"/>
              <color rgb="FF222222"/>
            </rPr>
            <t>天表现观察的贷款；评分带定义未变化。</t>
          </r>
        </is>
      </c>
      <c r="C11" s="25"/>
      <c r="D11" s="25"/>
      <c r="E11" s="25"/>
      <c r="F11" s="25"/>
      <c r="G11" s="25"/>
      <c r="H11" s="25"/>
      <c r="I11" s="25"/>
      <c r="J11" s="25"/>
    </row>
  </sheetData>
  <mergeCells>
    <mergeCell ref="A1:J1"/>
    <mergeCell ref="B11:J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ED7D31"/>
  </sheetPr>
  <sheetViews>
    <sheetView showGridLines="0" workbookViewId="0"/>
  </sheetViews>
  <sheetFormatPr defaultRowHeight="15"/>
  <cols>
    <col min="1" max="1" width="20" hidden="0" customWidth="1"/>
    <col min="2" max="2" width="14" hidden="0" customWidth="1"/>
    <col min="3" max="3" width="14" hidden="0" customWidth="1"/>
    <col min="4" max="4" width="21" hidden="0" customWidth="1"/>
    <col min="5" max="5" width="21" hidden="0" customWidth="1"/>
    <col min="6" max="6" width="21" hidden="0" customWidth="1"/>
    <col min="7" max="7" width="21" hidden="0" customWidth="1"/>
    <col min="8" max="8" width="21" hidden="0" customWidth="1"/>
    <col min="9" max="9" width="15" hidden="0" customWidth="1"/>
  </cols>
  <sheetData>
    <row r="1" ht="26" customHeight="1">
      <c r="A1" s="2" t="inlineStr">
        <is>
          <r>
            <rPr>
              <rFont val="SimSun"/>
              <b/>
              <sz val="14"/>
              <color rgb="FF000000"/>
            </rPr>
            <t>渠道结构与关键变量缺失率</t>
          </r>
        </is>
      </c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9" t="inlineStr">
        <is>
          <r>
            <rPr>
              <rFont val="SimSun"/>
              <b/>
              <sz val="10.5"/>
              <color rgb="FFFFFFFF"/>
            </rPr>
            <t>渠道</t>
          </r>
        </is>
      </c>
      <c r="B3" s="9" t="inlineStr">
        <is>
          <r>
            <rPr>
              <rFont val="SimSun"/>
              <b/>
              <sz val="10.5"/>
              <color rgb="FFFFFFFF"/>
            </rPr>
            <t>基准申请量</t>
          </r>
        </is>
      </c>
      <c r="C3" s="9" t="inlineStr">
        <is>
          <r>
            <rPr>
              <rFont val="SimSun"/>
              <b/>
              <sz val="10.5"/>
              <color rgb="FFFFFFFF"/>
            </rPr>
            <t>当前申请量</t>
          </r>
        </is>
      </c>
      <c r="D3" s="9" t="inlineStr">
        <is>
          <r>
            <rPr>
              <rFont val="SimSun"/>
              <b/>
              <sz val="10.5"/>
              <color rgb="FFFFFFFF"/>
            </rPr>
            <t>基准</t>
          </r>
          <r>
            <rPr>
              <rFont val="Times New Roman"/>
              <b/>
              <sz val="10.5"/>
              <color rgb="FFFFFFFF"/>
            </rPr>
            <t>30</t>
          </r>
          <r>
            <rPr>
              <rFont val="SimSun"/>
              <b/>
              <sz val="10.5"/>
              <color rgb="FFFFFFFF"/>
            </rPr>
            <t>天逾期率</t>
          </r>
        </is>
      </c>
      <c r="E3" s="9" t="inlineStr">
        <is>
          <r>
            <rPr>
              <rFont val="SimSun"/>
              <b/>
              <sz val="10.5"/>
              <color rgb="FFFFFFFF"/>
            </rPr>
            <t>当前</t>
          </r>
          <r>
            <rPr>
              <rFont val="Times New Roman"/>
              <b/>
              <sz val="10.5"/>
              <color rgb="FFFFFFFF"/>
            </rPr>
            <t>30</t>
          </r>
          <r>
            <rPr>
              <rFont val="SimSun"/>
              <b/>
              <sz val="10.5"/>
              <color rgb="FFFFFFFF"/>
            </rPr>
            <t>天逾期率</t>
          </r>
        </is>
      </c>
      <c r="F3" s="9" t="inlineStr">
        <is>
          <r>
            <rPr>
              <rFont val="SimSun"/>
              <b/>
              <sz val="10.5"/>
              <color rgb="FFFFFFFF"/>
            </rPr>
            <t>基准</t>
          </r>
          <r>
            <rPr>
              <rFont val="Times New Roman"/>
              <b/>
              <sz val="10.5"/>
              <color rgb="FFFFFFFF"/>
            </rPr>
            <t>transaction_frequency</t>
          </r>
          <r>
            <rPr>
              <rFont val="SimSun"/>
              <b/>
              <sz val="10.5"/>
              <color rgb="FFFFFFFF"/>
            </rPr>
            <t>缺失率</t>
          </r>
        </is>
      </c>
      <c r="G3" s="9" t="inlineStr">
        <is>
          <r>
            <rPr>
              <rFont val="SimSun"/>
              <b/>
              <sz val="10.5"/>
              <color rgb="FFFFFFFF"/>
            </rPr>
            <t>当前</t>
          </r>
          <r>
            <rPr>
              <rFont val="Times New Roman"/>
              <b/>
              <sz val="10.5"/>
              <color rgb="FFFFFFFF"/>
            </rPr>
            <t>transaction_frequency</t>
          </r>
          <r>
            <rPr>
              <rFont val="SimSun"/>
              <b/>
              <sz val="10.5"/>
              <color rgb="FFFFFFFF"/>
            </rPr>
            <t>缺失率</t>
          </r>
        </is>
      </c>
      <c r="H3" s="9" t="inlineStr">
        <is>
          <r>
            <rPr>
              <rFont val="SimSun"/>
              <b/>
              <sz val="10.5"/>
              <color rgb="FFFFFFFF"/>
            </rPr>
            <t>当前自动审批率</t>
          </r>
        </is>
      </c>
      <c r="I3" s="9" t="inlineStr">
        <is>
          <r>
            <rPr>
              <rFont val="SimSun"/>
              <b/>
              <sz val="10.5"/>
              <color rgb="FFFFFFFF"/>
            </rPr>
            <t>当前样本备注</t>
          </r>
        </is>
      </c>
    </row>
    <row r="4">
      <c r="A4" s="12" t="inlineStr">
        <is>
          <r>
            <rPr>
              <rFont val="SimSun"/>
              <sz val="10.5"/>
              <color rgb="FF222222"/>
            </rPr>
            <t>自营</t>
          </r>
          <r>
            <rPr>
              <rFont val="Times New Roman"/>
              <sz val="10.5"/>
              <color rgb="FF222222"/>
            </rPr>
            <t>App</t>
          </r>
        </is>
      </c>
      <c r="B4" s="13" t="n">
        <v>7000</v>
      </c>
      <c r="C4" s="13" t="n">
        <v>6500</v>
      </c>
      <c r="D4" s="15" t="n">
        <v>0.012</v>
      </c>
      <c r="E4" s="15" t="n">
        <v>0.016923076923076923</v>
      </c>
      <c r="F4" s="15" t="n">
        <v>0.02</v>
      </c>
      <c r="G4" s="15" t="n">
        <v>0.04</v>
      </c>
      <c r="H4" s="15" t="n">
        <v>0.36</v>
      </c>
      <c r="I4" s="12" t="inlineStr">
        <is>
          <r>
            <rPr>
              <rFont val="SimSun"/>
              <sz val="10.5"/>
              <color rgb="FF222222"/>
            </rPr>
            <t>成熟样本</t>
          </r>
        </is>
      </c>
    </row>
    <row r="5">
      <c r="A5" s="12" t="inlineStr">
        <is>
          <r>
            <rPr>
              <rFont val="SimSun"/>
              <sz val="10.5"/>
              <color rgb="FF222222"/>
            </rPr>
            <t>电商合作渠道</t>
          </r>
          <r>
            <rPr>
              <rFont val="Times New Roman"/>
              <sz val="10.5"/>
              <color rgb="FF222222"/>
            </rPr>
            <t>A</t>
          </r>
        </is>
      </c>
      <c r="B5" s="13" t="n">
        <v>2000</v>
      </c>
      <c r="C5" s="13" t="n">
        <v>4000</v>
      </c>
      <c r="D5" s="15" t="n">
        <v>0.028</v>
      </c>
      <c r="E5" s="15" t="n">
        <v>0.0325</v>
      </c>
      <c r="F5" s="15" t="n">
        <v>0.08</v>
      </c>
      <c r="G5" s="15" t="n">
        <v>0.22</v>
      </c>
      <c r="H5" s="15" t="n">
        <v>0.29</v>
      </c>
      <c r="I5" s="12" t="inlineStr">
        <is>
          <r>
            <rPr>
              <rFont val="SimSun"/>
              <sz val="10.5"/>
              <color rgb="FF222222"/>
            </rPr>
            <t>成熟样本</t>
          </r>
        </is>
      </c>
    </row>
    <row r="6">
      <c r="A6" s="12" t="inlineStr">
        <is>
          <r>
            <rPr>
              <rFont val="SimSun"/>
              <sz val="10.5"/>
              <color rgb="FF222222"/>
            </rPr>
            <t>其他合作渠道</t>
          </r>
        </is>
      </c>
      <c r="B6" s="13" t="n">
        <v>1000</v>
      </c>
      <c r="C6" s="13" t="n">
        <v>2000</v>
      </c>
      <c r="D6" s="15" t="n">
        <v>0.04</v>
      </c>
      <c r="E6" s="15" t="n">
        <v>0.0425</v>
      </c>
      <c r="F6" s="15" t="n">
        <v>0.1</v>
      </c>
      <c r="G6" s="15" t="n">
        <v>0.15</v>
      </c>
      <c r="H6" s="15" t="n">
        <v>0.24</v>
      </c>
      <c r="I6" s="12" t="inlineStr">
        <is>
          <r>
            <rPr>
              <rFont val="SimSun"/>
              <sz val="10.5"/>
              <color rgb="FF222222"/>
            </rPr>
            <t>成熟样本</t>
          </r>
        </is>
      </c>
    </row>
    <row r="8">
      <c r="A8" s="21" t="inlineStr">
        <is>
          <r>
            <rPr>
              <rFont val="SimSun"/>
              <b/>
              <sz val="11"/>
            </rPr>
            <t>样本说明</t>
          </r>
        </is>
      </c>
      <c r="B8" s="21"/>
      <c r="C8" s="21"/>
      <c r="D8" s="21"/>
      <c r="E8" s="21"/>
      <c r="F8" s="21"/>
      <c r="G8" s="21"/>
      <c r="H8" s="21"/>
      <c r="I8" s="21"/>
    </row>
    <row r="9">
      <c r="A9" s="23" t="inlineStr">
        <is>
          <r>
            <rPr>
              <rFont val="SimSun"/>
              <sz val="10.5"/>
            </rPr>
            <t>渠道表当前申请量合计</t>
          </r>
          <r>
            <rPr>
              <rFont val="Times New Roman"/>
              <sz val="10.5"/>
            </rPr>
            <t>12,500</t>
          </r>
          <r>
            <rPr>
              <rFont val="SimSun"/>
              <sz val="10.5"/>
            </rPr>
            <t>笔，与监控摘要一致；渠道逾期数合计</t>
          </r>
          <r>
            <rPr>
              <rFont val="Times New Roman"/>
              <sz val="10.5"/>
            </rPr>
            <t>325</t>
          </r>
          <r>
            <rPr>
              <rFont val="SimSun"/>
              <sz val="10.5"/>
            </rPr>
            <t>笔，对应</t>
          </r>
          <r>
            <rPr>
              <rFont val="Times New Roman"/>
              <sz val="10.5"/>
            </rPr>
            <t>2.60%</t>
          </r>
          <r>
            <rPr>
              <rFont val="SimSun"/>
              <sz val="10.5"/>
            </rPr>
            <t>。</t>
          </r>
        </is>
      </c>
      <c r="B9" s="23"/>
      <c r="C9" s="23"/>
      <c r="D9" s="23"/>
      <c r="E9" s="23"/>
      <c r="F9" s="23"/>
      <c r="G9" s="23"/>
      <c r="H9" s="23"/>
      <c r="I9" s="23"/>
    </row>
  </sheetData>
  <mergeCells>
    <mergeCell ref="A1:I1"/>
    <mergeCell ref="A8:I8"/>
    <mergeCell ref="A9:I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A5A5A5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2" hidden="0" customWidth="1"/>
    <col min="2" max="2" width="34" hidden="0" customWidth="1"/>
    <col min="3" max="3" width="34" hidden="0" customWidth="1"/>
    <col min="4" max="4" width="28" hidden="0" customWidth="1"/>
  </cols>
  <sheetData>
    <row r="1" ht="26" customHeight="1">
      <c r="A1" s="2" t="inlineStr">
        <is>
          <r>
            <rPr>
              <rFont val="SimSun"/>
              <b/>
              <sz val="14"/>
              <color rgb="FF000000"/>
            </rPr>
            <t>数据口径与字段说明</t>
          </r>
        </is>
      </c>
    </row>
    <row r="2">
      <c r="A2" s="3"/>
      <c r="B2" s="3"/>
      <c r="C2" s="3"/>
      <c r="D2" s="3"/>
    </row>
    <row r="3">
      <c r="A3" s="9" t="inlineStr">
        <is>
          <r>
            <rPr>
              <rFont val="SimSun"/>
              <b/>
              <sz val="10.5"/>
              <color rgb="FFFFFFFF"/>
            </rPr>
            <t>项目</t>
          </r>
        </is>
      </c>
      <c r="B3" s="9" t="inlineStr">
        <is>
          <r>
            <rPr>
              <rFont val="SimSun"/>
              <b/>
              <sz val="10.5"/>
              <color rgb="FFFFFFFF"/>
            </rPr>
            <t>基准口径</t>
          </r>
        </is>
      </c>
      <c r="C3" s="9" t="inlineStr">
        <is>
          <r>
            <rPr>
              <rFont val="SimSun"/>
              <b/>
              <sz val="10.5"/>
              <color rgb="FFFFFFFF"/>
            </rPr>
            <t>当前口径</t>
          </r>
        </is>
      </c>
      <c r="D3" s="9" t="inlineStr">
        <is>
          <r>
            <rPr>
              <rFont val="SimSun"/>
              <b/>
              <sz val="10.5"/>
              <color rgb="FFFFFFFF"/>
            </rPr>
            <t>用途</t>
          </r>
        </is>
      </c>
    </row>
    <row r="4">
      <c r="A4" s="30" t="inlineStr">
        <is>
          <r>
            <rPr>
              <rFont val="SimSun"/>
              <sz val="10.5"/>
              <color rgb="FF222222"/>
            </rPr>
            <t>报告观察截止日</t>
          </r>
        </is>
      </c>
      <c r="B4" s="30" t="inlineStr">
        <is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月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日</t>
          </r>
        </is>
      </c>
      <c r="C4" s="30" t="inlineStr">
        <is>
          <r>
            <rPr>
              <rFont val="Times New Roman"/>
              <sz val="10.5"/>
              <color rgb="FF222222"/>
            </rPr>
            <t>2026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月</t>
          </r>
          <r>
            <rPr>
              <rFont val="Times New Roman"/>
              <sz val="10.5"/>
              <color rgb="FF222222"/>
            </rPr>
            <t>31</t>
          </r>
          <r>
            <rPr>
              <rFont val="SimSun"/>
              <sz val="10.5"/>
              <color rgb="FF222222"/>
            </rPr>
            <t>日</t>
          </r>
        </is>
      </c>
      <c r="D4" s="30" t="inlineStr">
        <is>
          <r>
            <rPr>
              <rFont val="SimSun"/>
              <sz val="10.5"/>
              <color rgb="FF222222"/>
            </rPr>
            <t>分别覆盖</t>
          </r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月与</t>
          </r>
          <r>
            <rPr>
              <rFont val="Times New Roman"/>
              <sz val="10.5"/>
              <color rgb="FF222222"/>
            </rPr>
            <t>12</t>
          </r>
          <r>
            <rPr>
              <rFont val="SimSun"/>
              <sz val="10.5"/>
              <color rgb="FF222222"/>
            </rPr>
            <t>月申请批次的</t>
          </r>
          <r>
            <rPr>
              <rFont val="Times New Roman"/>
              <sz val="10.5"/>
              <color rgb="FF222222"/>
            </rPr>
            <t>30</t>
          </r>
          <r>
            <rPr>
              <rFont val="SimSun"/>
              <sz val="10.5"/>
              <color rgb="FF222222"/>
            </rPr>
            <t>天表现窗口</t>
          </r>
        </is>
      </c>
    </row>
    <row r="5">
      <c r="A5" s="30" t="inlineStr">
        <is>
          <r>
            <rPr>
              <rFont val="Times New Roman"/>
              <sz val="10.5"/>
              <color rgb="FF222222"/>
            </rPr>
            <t>AUC</t>
          </r>
          <r>
            <rPr>
              <rFont val="SimSun"/>
              <sz val="10.5"/>
              <color rgb="FF222222"/>
            </rPr>
            <t>与</t>
          </r>
          <r>
            <rPr>
              <rFont val="Times New Roman"/>
              <sz val="10.5"/>
              <color rgb="FF222222"/>
            </rPr>
            <t>KS</t>
          </r>
        </is>
      </c>
      <c r="B5" s="30" t="inlineStr">
        <is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月申请且截至</t>
          </r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3</t>
          </r>
          <r>
            <rPr>
              <rFont val="SimSun"/>
              <sz val="10.5"/>
              <color rgb="FF222222"/>
            </rPr>
            <t>月</t>
          </r>
          <r>
            <rPr>
              <rFont val="Times New Roman"/>
              <sz val="10.5"/>
              <color rgb="FF222222"/>
            </rPr>
            <t>2</t>
          </r>
          <r>
            <rPr>
              <rFont val="SimSun"/>
              <sz val="10.5"/>
              <color rgb="FF222222"/>
            </rPr>
            <t>日完成</t>
          </r>
          <r>
            <rPr>
              <rFont val="Times New Roman"/>
              <sz val="10.5"/>
              <color rgb="FF222222"/>
            </rPr>
            <t>30</t>
          </r>
          <r>
            <rPr>
              <rFont val="SimSun"/>
              <sz val="10.5"/>
              <color rgb="FF222222"/>
            </rPr>
            <t>天观察的成熟样本</t>
          </r>
        </is>
      </c>
      <c r="C5" s="30" t="inlineStr">
        <is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12</t>
          </r>
          <r>
            <rPr>
              <rFont val="SimSun"/>
              <sz val="10.5"/>
              <color rgb="FF222222"/>
            </rPr>
            <t>月申请且截至</t>
          </r>
          <r>
            <rPr>
              <rFont val="Times New Roman"/>
              <sz val="10.5"/>
              <color rgb="FF222222"/>
            </rPr>
            <t>2026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月</t>
          </r>
          <r>
            <rPr>
              <rFont val="Times New Roman"/>
              <sz val="10.5"/>
              <color rgb="FF222222"/>
            </rPr>
            <t>31</t>
          </r>
          <r>
            <rPr>
              <rFont val="SimSun"/>
              <sz val="10.5"/>
              <color rgb="FF222222"/>
            </rPr>
            <t>日完成</t>
          </r>
          <r>
            <rPr>
              <rFont val="Times New Roman"/>
              <sz val="10.5"/>
              <color rgb="FF222222"/>
            </rPr>
            <t>30</t>
          </r>
          <r>
            <rPr>
              <rFont val="SimSun"/>
              <sz val="10.5"/>
              <color rgb="FF222222"/>
            </rPr>
            <t>天观察的成熟样本</t>
          </r>
        </is>
      </c>
      <c r="D5" s="30" t="inlineStr">
        <is>
          <r>
            <rPr>
              <rFont val="SimSun"/>
              <sz val="10.5"/>
              <color rgb="FF222222"/>
            </rPr>
            <t>判别能力</t>
          </r>
        </is>
      </c>
    </row>
    <row r="6">
      <c r="A6" s="30" t="inlineStr">
        <is>
          <r>
            <rPr>
              <rFont val="Times New Roman"/>
              <sz val="10.5"/>
              <color rgb="FF222222"/>
            </rPr>
            <t>30</t>
          </r>
          <r>
            <rPr>
              <rFont val="SimSun"/>
              <sz val="10.5"/>
              <color rgb="FF222222"/>
            </rPr>
            <t>天逾期率</t>
          </r>
        </is>
      </c>
      <c r="B6" s="30" t="inlineStr">
        <is>
          <r>
            <rPr>
              <rFont val="SimSun"/>
              <sz val="10.5"/>
              <color rgb="FF222222"/>
            </rPr>
            <t>放款后</t>
          </r>
          <r>
            <rPr>
              <rFont val="Times New Roman"/>
              <sz val="10.5"/>
              <color rgb="FF222222"/>
            </rPr>
            <t>30</t>
          </r>
          <r>
            <rPr>
              <rFont val="SimSun"/>
              <sz val="10.5"/>
              <color rgb="FF222222"/>
            </rPr>
            <t>个自然日内出现任一笔逾期，分母为完成</t>
          </r>
          <r>
            <rPr>
              <rFont val="Times New Roman"/>
              <sz val="10.5"/>
              <color rgb="FF222222"/>
            </rPr>
            <t>30</t>
          </r>
          <r>
            <rPr>
              <rFont val="SimSun"/>
              <sz val="10.5"/>
              <color rgb="FF222222"/>
            </rPr>
            <t>天观察的放款笔数</t>
          </r>
        </is>
      </c>
      <c r="C6" s="30" t="inlineStr">
        <is>
          <r>
            <rPr>
              <rFont val="SimSun"/>
              <sz val="10.5"/>
              <color rgb="FF222222"/>
            </rPr>
            <t>同左</t>
          </r>
        </is>
      </c>
      <c r="D6" s="30" t="inlineStr">
        <is>
          <r>
            <rPr>
              <rFont val="SimSun"/>
              <sz val="10.5"/>
              <color rgb="FF222222"/>
            </rPr>
            <t>风险结果</t>
          </r>
        </is>
      </c>
    </row>
    <row r="7">
      <c r="A7" s="30" t="inlineStr">
        <is>
          <r>
            <rPr>
              <rFont val="Times New Roman"/>
              <sz val="10.5"/>
              <color rgb="FF222222"/>
            </rPr>
            <t>PSI</t>
          </r>
          <r>
            <rPr>
              <rFont val="SimSun"/>
              <sz val="10.5"/>
              <color rgb="FF222222"/>
            </rPr>
            <t>基准样本</t>
          </r>
        </is>
      </c>
      <c r="B7" s="30" t="inlineStr">
        <is>
          <r>
            <rPr>
              <rFont val="SimSun"/>
              <sz val="10.5"/>
              <color rgb="FF222222"/>
            </rPr>
            <t>模型开发留出样本</t>
          </r>
          <r>
            <rPr>
              <rFont val="Times New Roman"/>
              <sz val="10.5"/>
              <color rgb="FF222222"/>
            </rPr>
            <t>10,000</t>
          </r>
          <r>
            <rPr>
              <rFont val="SimSun"/>
              <sz val="10.5"/>
              <color rgb="FF222222"/>
            </rPr>
            <t>笔</t>
          </r>
        </is>
      </c>
      <c r="C7" s="30" t="inlineStr">
        <is>
          <r>
            <rPr>
              <rFont val="Times New Roman"/>
              <sz val="10.5"/>
              <color rgb="FF222222"/>
            </rPr>
            <t>-</t>
          </r>
        </is>
      </c>
      <c r="D7" s="30" t="inlineStr">
        <is>
          <r>
            <rPr>
              <rFont val="SimSun"/>
              <sz val="10.5"/>
              <color rgb="FF222222"/>
            </rPr>
            <t>期望分布</t>
          </r>
        </is>
      </c>
    </row>
    <row r="8">
      <c r="A8" s="30" t="inlineStr">
        <is>
          <r>
            <rPr>
              <rFont val="Times New Roman"/>
              <sz val="10.5"/>
              <color rgb="FF222222"/>
            </rPr>
            <t>PSI</t>
          </r>
          <r>
            <rPr>
              <rFont val="SimSun"/>
              <sz val="10.5"/>
              <color rgb="FF222222"/>
            </rPr>
            <t>当前样本</t>
          </r>
        </is>
      </c>
      <c r="B8" s="30" t="inlineStr">
        <is>
          <r>
            <rPr>
              <rFont val="Times New Roman"/>
              <sz val="10.5"/>
              <color rgb="FF222222"/>
            </rPr>
            <t>-</t>
          </r>
        </is>
      </c>
      <c r="C8" s="30" t="inlineStr">
        <is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12</t>
          </r>
          <r>
            <rPr>
              <rFont val="SimSun"/>
              <sz val="10.5"/>
              <color rgb="FF222222"/>
            </rPr>
            <t>月成熟样本</t>
          </r>
          <r>
            <rPr>
              <rFont val="Times New Roman"/>
              <sz val="10.5"/>
              <color rgb="FF222222"/>
            </rPr>
            <t>10,000</t>
          </r>
          <r>
            <rPr>
              <rFont val="SimSun"/>
              <sz val="10.5"/>
              <color rgb="FF222222"/>
            </rPr>
            <t>笔</t>
          </r>
        </is>
      </c>
      <c r="D8" s="30" t="inlineStr">
        <is>
          <r>
            <rPr>
              <rFont val="SimSun"/>
              <sz val="10.5"/>
              <color rgb="FF222222"/>
            </rPr>
            <t>实际分布</t>
          </r>
        </is>
      </c>
    </row>
    <row r="9">
      <c r="A9" s="30" t="inlineStr">
        <is>
          <r>
            <rPr>
              <rFont val="SimSun"/>
              <sz val="10.5"/>
              <color rgb="FF222222"/>
            </rPr>
            <t>评分带迁移</t>
          </r>
        </is>
      </c>
      <c r="B9" s="30" t="inlineStr">
        <is>
          <r>
            <rPr>
              <rFont val="SimSun"/>
              <sz val="10.5"/>
              <color rgb="FF222222"/>
            </rPr>
            <t>从</t>
          </r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月成熟样本随机抽取</t>
          </r>
          <r>
            <rPr>
              <rFont val="Times New Roman"/>
              <sz val="10.5"/>
              <color rgb="FF222222"/>
            </rPr>
            <t>10,000</t>
          </r>
          <r>
            <rPr>
              <rFont val="SimSun"/>
              <sz val="10.5"/>
              <color rgb="FF222222"/>
            </rPr>
            <t>笔</t>
          </r>
        </is>
      </c>
      <c r="C9" s="30" t="inlineStr">
        <is>
          <r>
            <rPr>
              <rFont val="SimSun"/>
              <sz val="10.5"/>
              <color rgb="FF222222"/>
            </rPr>
            <t>从</t>
          </r>
          <r>
            <rPr>
              <rFont val="Times New Roman"/>
              <sz val="10.5"/>
              <color rgb="FF222222"/>
            </rPr>
            <t>2025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12</t>
          </r>
          <r>
            <rPr>
              <rFont val="SimSun"/>
              <sz val="10.5"/>
              <color rgb="FF222222"/>
            </rPr>
            <t>月成熟样本随机抽取</t>
          </r>
          <r>
            <rPr>
              <rFont val="Times New Roman"/>
              <sz val="10.5"/>
              <color rgb="FF222222"/>
            </rPr>
            <t>10,000</t>
          </r>
          <r>
            <rPr>
              <rFont val="SimSun"/>
              <sz val="10.5"/>
              <color rgb="FF222222"/>
            </rPr>
            <t>笔</t>
          </r>
        </is>
      </c>
      <c r="D9" s="30" t="inlineStr">
        <is>
          <r>
            <rPr>
              <rFont val="SimSun"/>
              <sz val="10.5"/>
              <color rgb="FF222222"/>
            </rPr>
            <t>区分结构迁移与评分带内风险变化</t>
          </r>
        </is>
      </c>
    </row>
    <row r="10">
      <c r="A10" s="30" t="inlineStr">
        <is>
          <r>
            <rPr>
              <rFont val="SimSun"/>
              <sz val="10.5"/>
              <color rgb="FF222222"/>
            </rPr>
            <t>供应商</t>
          </r>
          <r>
            <rPr>
              <rFont val="Times New Roman"/>
              <sz val="10.5"/>
              <color rgb="FF222222"/>
            </rPr>
            <t>PSI</t>
          </r>
        </is>
      </c>
      <c r="B10" s="30" t="inlineStr">
        <is>
          <r>
            <rPr>
              <rFont val="SimSun"/>
              <sz val="10.5"/>
              <color rgb="FF222222"/>
            </rPr>
            <t>未提供计算底稿</t>
          </r>
        </is>
      </c>
      <c r="C10" s="30" t="inlineStr">
        <is>
          <r>
            <rPr>
              <rFont val="Times New Roman"/>
              <sz val="10.5"/>
              <color rgb="FF222222"/>
            </rPr>
            <t>2026</t>
          </r>
          <r>
            <rPr>
              <rFont val="SimSun"/>
              <sz val="10.5"/>
              <color rgb="FF222222"/>
            </rPr>
            <t>年</t>
          </r>
          <r>
            <rPr>
              <rFont val="Times New Roman"/>
              <sz val="10.5"/>
              <color rgb="FF222222"/>
            </rPr>
            <t>1</t>
          </r>
          <r>
            <rPr>
              <rFont val="SimSun"/>
              <sz val="10.5"/>
              <color rgb="FF222222"/>
            </rPr>
            <t>月</t>
          </r>
          <r>
            <rPr>
              <rFont val="Times New Roman"/>
              <sz val="10.5"/>
              <color rgb="FF222222"/>
            </rPr>
            <t>8</t>
          </r>
          <r>
            <rPr>
              <rFont val="SimSun"/>
              <sz val="10.5"/>
              <color rgb="FF222222"/>
            </rPr>
            <t>日摘要值</t>
          </r>
        </is>
      </c>
      <c r="D10" s="30" t="inlineStr">
        <is>
          <r>
            <rPr>
              <rFont val="SimSun"/>
              <sz val="10.5"/>
              <color rgb="FF222222"/>
            </rPr>
            <t>仅用于核对，不作为优先证据</t>
          </r>
        </is>
      </c>
    </row>
    <row r="11">
      <c r="A11" s="30" t="inlineStr">
        <is>
          <r>
            <rPr>
              <rFont val="SimSun"/>
              <sz val="10.5"/>
              <color rgb="FF222222"/>
            </rPr>
            <t>数据完整性</t>
          </r>
        </is>
      </c>
      <c r="B11" s="30" t="inlineStr">
        <is>
          <r>
            <rPr>
              <rFont val="SimSun"/>
              <sz val="10.5"/>
              <color rgb="FF222222"/>
            </rPr>
            <t>关键字段无系统性中断</t>
          </r>
        </is>
      </c>
      <c r="C11" s="30" t="inlineStr">
        <is>
          <r>
            <rPr>
              <rFont val="SimSun"/>
              <sz val="10.5"/>
              <color rgb="FF222222"/>
            </rPr>
            <t>无字段全量中断；渠道缺失率见渠道表</t>
          </r>
        </is>
      </c>
      <c r="D11" s="30" t="inlineStr">
        <is>
          <r>
            <rPr>
              <rFont val="SimSun"/>
              <sz val="10.5"/>
              <color rgb="FF222222"/>
            </rPr>
            <t>判断是否需要全面停用</t>
          </r>
        </is>
      </c>
    </row>
  </sheetData>
  <mergeCells>
    <mergeCell ref="A1:D1"/>
  </mergeCells>
  <pageMargins left="0.7" right="0.7" top="0.75" bottom="0.75" header="0.3" footer="0.3"/>
</worksheet>
</file>